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8800" windowHeight="11736"/>
  </bookViews>
  <sheets>
    <sheet name="Dashboard" sheetId="5" r:id="rId1"/>
    <sheet name="Pivot_Tables" sheetId="6" r:id="rId2"/>
    <sheet name="Branch_Profitability" sheetId="1" r:id="rId3"/>
    <sheet name="Product_Profitability" sheetId="2" r:id="rId4"/>
    <sheet name="Segment_Income" sheetId="3" r:id="rId5"/>
    <sheet name="Region_Profitability" sheetId="4" r:id="rId6"/>
    <sheet name="Income_to_Cost_Ratio" sheetId="16" r:id="rId7"/>
  </sheets>
  <calcPr calcId="162913"/>
  <pivotCaches>
    <pivotCache cacheId="0" r:id="rId8"/>
    <pivotCache cacheId="1" r:id="rId9"/>
    <pivotCache cacheId="2" r:id="rId10"/>
    <pivotCache cacheId="3" r:id="rId11"/>
    <pivotCache cacheId="4" r:id="rId12"/>
    <pivotCache cacheId="5" r:id="rId13"/>
    <pivotCache cacheId="6" r:id="rId14"/>
  </pivotCaches>
</workbook>
</file>

<file path=xl/calcChain.xml><?xml version="1.0" encoding="utf-8"?>
<calcChain xmlns="http://schemas.openxmlformats.org/spreadsheetml/2006/main">
  <c r="B7" i="5" l="1"/>
  <c r="O9" i="2" l="1"/>
  <c r="O8" i="2"/>
  <c r="AB7" i="5"/>
  <c r="T7" i="5"/>
  <c r="P7" i="5"/>
  <c r="K4" i="1"/>
  <c r="K5" i="1"/>
  <c r="K6" i="1"/>
  <c r="K7" i="1"/>
  <c r="K8" i="1"/>
  <c r="K9" i="1"/>
  <c r="K14" i="1"/>
  <c r="K15" i="1"/>
  <c r="K16" i="1"/>
  <c r="K17" i="1"/>
  <c r="K18" i="1"/>
  <c r="K19" i="1"/>
  <c r="O12" i="2"/>
  <c r="O11" i="2"/>
  <c r="O10" i="2"/>
  <c r="O7" i="2"/>
  <c r="H7" i="5"/>
  <c r="L7" i="5"/>
</calcChain>
</file>

<file path=xl/sharedStrings.xml><?xml version="1.0" encoding="utf-8"?>
<sst xmlns="http://schemas.openxmlformats.org/spreadsheetml/2006/main" count="374" uniqueCount="121">
  <si>
    <t>branch_code</t>
  </si>
  <si>
    <t>branch_name</t>
  </si>
  <si>
    <t>branch_manager_name</t>
  </si>
  <si>
    <t>reporting_period</t>
  </si>
  <si>
    <t>total_income</t>
  </si>
  <si>
    <t>operating_expense</t>
  </si>
  <si>
    <t>net_profit_or_loss</t>
  </si>
  <si>
    <t>Red Deer Branch</t>
  </si>
  <si>
    <t>Elina Sellers</t>
  </si>
  <si>
    <t>FY2025</t>
  </si>
  <si>
    <t>Grand Prairie Branch</t>
  </si>
  <si>
    <t>Zakai Doyle</t>
  </si>
  <si>
    <t>Edmonton North Branch</t>
  </si>
  <si>
    <t>Amanda Sloan</t>
  </si>
  <si>
    <t>Sherwood Park Branch</t>
  </si>
  <si>
    <t>Blair Keith</t>
  </si>
  <si>
    <t>St. Albert Branch</t>
  </si>
  <si>
    <t>Kira Parra</t>
  </si>
  <si>
    <t>Calgary South Branch</t>
  </si>
  <si>
    <t>Kimber Strong</t>
  </si>
  <si>
    <t>Bighorn Branch</t>
  </si>
  <si>
    <t>Caspian Palmer</t>
  </si>
  <si>
    <t>Aspen Branch</t>
  </si>
  <si>
    <t>Declan Bradshaw</t>
  </si>
  <si>
    <t>Lakeland Branch</t>
  </si>
  <si>
    <t>Marilyn Burch</t>
  </si>
  <si>
    <t>Edmonton South Branch</t>
  </si>
  <si>
    <t>Lyric Jenkins</t>
  </si>
  <si>
    <t>Calgary West Branch</t>
  </si>
  <si>
    <t>Amari Correa</t>
  </si>
  <si>
    <t>Drayton Valley Branch</t>
  </si>
  <si>
    <t>Skyla Boyd</t>
  </si>
  <si>
    <t>Wetaskiwin Branch</t>
  </si>
  <si>
    <t>Liberty Jenkins</t>
  </si>
  <si>
    <t>Palliser Branch</t>
  </si>
  <si>
    <t>Gerald Wong</t>
  </si>
  <si>
    <t>Mosaic Branch</t>
  </si>
  <si>
    <t>Fallon Edwards</t>
  </si>
  <si>
    <t>Northwest Branch</t>
  </si>
  <si>
    <t>Anika Hicks</t>
  </si>
  <si>
    <t>Chinook Branch</t>
  </si>
  <si>
    <t>Dean Rowe</t>
  </si>
  <si>
    <t>Camrose Branch</t>
  </si>
  <si>
    <t>Mya Lane</t>
  </si>
  <si>
    <t>Cold Lake Branch</t>
  </si>
  <si>
    <t>Blake Rich</t>
  </si>
  <si>
    <t>Wood Buffalo Branch</t>
  </si>
  <si>
    <t>Avery Mullen</t>
  </si>
  <si>
    <t>Lloydminster Branch</t>
  </si>
  <si>
    <t>Zariyah Roach</t>
  </si>
  <si>
    <t>Calgary Rural Branch</t>
  </si>
  <si>
    <t>Stella Duncan</t>
  </si>
  <si>
    <t>Bow Valley Branch</t>
  </si>
  <si>
    <t>Emery Elliott</t>
  </si>
  <si>
    <t>Mcleod River Branch</t>
  </si>
  <si>
    <t>Jedidiah Lu</t>
  </si>
  <si>
    <t>Rocky Mountain Branch</t>
  </si>
  <si>
    <t>Kora Lu</t>
  </si>
  <si>
    <t>Calgary Foothills Branch</t>
  </si>
  <si>
    <t>Jemma Rosario</t>
  </si>
  <si>
    <t>Leduc Branch</t>
  </si>
  <si>
    <t>Ivanna Berry</t>
  </si>
  <si>
    <t>Bonnyvile Branch</t>
  </si>
  <si>
    <t>Amoura Potter</t>
  </si>
  <si>
    <t>Borealis Branch</t>
  </si>
  <si>
    <t>Duncan Oâ€™Connor</t>
  </si>
  <si>
    <t>checking_profit</t>
  </si>
  <si>
    <t>savings_profit</t>
  </si>
  <si>
    <t>personal_income_profit</t>
  </si>
  <si>
    <t>mortgage_profit</t>
  </si>
  <si>
    <t>credit_card_profit</t>
  </si>
  <si>
    <t>line_of_credit_profit</t>
  </si>
  <si>
    <t>GIC_profit</t>
  </si>
  <si>
    <t>segment_name</t>
  </si>
  <si>
    <t>retail</t>
  </si>
  <si>
    <t>SME</t>
  </si>
  <si>
    <t>corporate</t>
  </si>
  <si>
    <t>prestige</t>
  </si>
  <si>
    <t>segment_income</t>
  </si>
  <si>
    <t>branch_region</t>
  </si>
  <si>
    <t>region_profit</t>
  </si>
  <si>
    <t>Calgary</t>
  </si>
  <si>
    <t>Central</t>
  </si>
  <si>
    <t>Edmonton</t>
  </si>
  <si>
    <t>North</t>
  </si>
  <si>
    <t>South</t>
  </si>
  <si>
    <t>Row Labels</t>
  </si>
  <si>
    <t>Grand Total</t>
  </si>
  <si>
    <t>Assurance Bank</t>
  </si>
  <si>
    <t>Regions</t>
  </si>
  <si>
    <t>Branches</t>
  </si>
  <si>
    <t>Segments</t>
  </si>
  <si>
    <t>Products</t>
  </si>
  <si>
    <t>mortgage</t>
  </si>
  <si>
    <t>credit card</t>
  </si>
  <si>
    <t>product</t>
  </si>
  <si>
    <t>branch</t>
  </si>
  <si>
    <t>value</t>
  </si>
  <si>
    <t>Sum of value</t>
  </si>
  <si>
    <t>Sum of segment_income</t>
  </si>
  <si>
    <t>Segment Income</t>
  </si>
  <si>
    <t>Sum of region_profit</t>
  </si>
  <si>
    <t>Region Profitability</t>
  </si>
  <si>
    <t>Sum of savings_profit</t>
  </si>
  <si>
    <t xml:space="preserve">Severe Loss Making </t>
  </si>
  <si>
    <t>branch_manager</t>
  </si>
  <si>
    <t>profit</t>
  </si>
  <si>
    <t>revenue</t>
  </si>
  <si>
    <t>Sum of revenue</t>
  </si>
  <si>
    <t>Top and Worst Revenue Making Branches</t>
  </si>
  <si>
    <t>Sum of profit</t>
  </si>
  <si>
    <t>Top and Worst Profit Making Branches</t>
  </si>
  <si>
    <t>Top and Worst Product Profitability</t>
  </si>
  <si>
    <t>Severe Loss on Savings Product</t>
  </si>
  <si>
    <t>Loss Value</t>
  </si>
  <si>
    <t>No. of Branches</t>
  </si>
  <si>
    <t>income_to_cost_ratio</t>
  </si>
  <si>
    <t>Sum of income_to_cost_ratio</t>
  </si>
  <si>
    <t>Income to Cost Ratio</t>
  </si>
  <si>
    <t>Branches with Income to Cost &lt;1</t>
  </si>
  <si>
    <t>Income and Profit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</si>
</sst>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charset val="134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Verdana"/>
      <family val="2"/>
    </font>
    <font>
      <b/>
      <sz val="28"/>
      <color theme="1"/>
      <name val="Verdana"/>
      <family val="2"/>
    </font>
    <font>
      <b/>
      <sz val="20"/>
      <color theme="1"/>
      <name val="Verdana"/>
      <family val="2"/>
    </font>
    <font>
      <b/>
      <sz val="16"/>
      <color theme="1"/>
      <name val="Verdan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8">
    <xf numFmtId="0" fontId="0" fillId="0" borderId="0" xfId="0"/>
    <xf numFmtId="0" fontId="16" fillId="0" borderId="0" xfId="0" applyFont="1"/>
    <xf numFmtId="0" fontId="18" fillId="0" borderId="0" xfId="0" applyNumberFormat="1" applyFont="1" applyFill="1" applyBorder="1" applyAlignment="1" applyProtection="1">
      <alignment vertical="center"/>
    </xf>
    <xf numFmtId="0" fontId="19" fillId="0" borderId="0" xfId="0" applyNumberFormat="1" applyFont="1" applyFill="1" applyBorder="1" applyAlignment="1" applyProtection="1">
      <alignment vertical="center"/>
    </xf>
    <xf numFmtId="0" fontId="20" fillId="0" borderId="0" xfId="0" applyNumberFormat="1" applyFont="1" applyFill="1" applyBorder="1" applyAlignment="1" applyProtection="1">
      <alignment vertical="center"/>
    </xf>
    <xf numFmtId="0" fontId="0" fillId="33" borderId="0" xfId="0" applyFill="1"/>
    <xf numFmtId="0" fontId="0" fillId="34" borderId="10" xfId="0" applyFont="1" applyFill="1" applyBorder="1"/>
    <xf numFmtId="0" fontId="0" fillId="0" borderId="10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5" borderId="0" xfId="0" applyFill="1"/>
    <xf numFmtId="0" fontId="0" fillId="36" borderId="0" xfId="0" applyFill="1"/>
    <xf numFmtId="0" fontId="23" fillId="33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 vertical="center"/>
    </xf>
    <xf numFmtId="0" fontId="18" fillId="0" borderId="0" xfId="0" applyNumberFormat="1" applyFont="1" applyFill="1" applyBorder="1" applyAlignment="1" applyProtection="1">
      <alignment horizontal="center" vertical="center"/>
    </xf>
    <xf numFmtId="0" fontId="16" fillId="0" borderId="0" xfId="0" applyFont="1" applyAlignment="1">
      <alignment vertical="center"/>
    </xf>
    <xf numFmtId="0" fontId="0" fillId="0" borderId="0" xfId="0" applyAlignment="1">
      <alignment horizontal="left" indent="1"/>
    </xf>
    <xf numFmtId="0" fontId="18" fillId="0" borderId="0" xfId="0" applyNumberFormat="1" applyFont="1" applyFill="1" applyBorder="1" applyAlignment="1" applyProtection="1">
      <alignment horizontal="center"/>
    </xf>
    <xf numFmtId="0" fontId="20" fillId="0" borderId="0" xfId="0" applyNumberFormat="1" applyFont="1" applyFill="1" applyAlignment="1" applyProtection="1">
      <alignment horizontal="center" vertical="center"/>
    </xf>
    <xf numFmtId="0" fontId="20" fillId="0" borderId="0" xfId="0" applyNumberFormat="1" applyFont="1" applyFill="1" applyBorder="1" applyAlignment="1" applyProtection="1">
      <alignment horizontal="center" vertical="center"/>
    </xf>
    <xf numFmtId="0" fontId="16" fillId="0" borderId="0" xfId="0" applyFont="1" applyAlignment="1">
      <alignment horizontal="center"/>
    </xf>
    <xf numFmtId="164" fontId="23" fillId="33" borderId="0" xfId="0" applyNumberFormat="1" applyFont="1" applyFill="1" applyAlignment="1">
      <alignment vertical="center"/>
    </xf>
    <xf numFmtId="0" fontId="21" fillId="33" borderId="0" xfId="0" applyFont="1" applyFill="1" applyAlignment="1"/>
    <xf numFmtId="0" fontId="0" fillId="35" borderId="11" xfId="0" applyFill="1" applyBorder="1"/>
    <xf numFmtId="0" fontId="0" fillId="33" borderId="14" xfId="0" applyFill="1" applyBorder="1"/>
    <xf numFmtId="0" fontId="0" fillId="35" borderId="13" xfId="0" applyFill="1" applyBorder="1"/>
    <xf numFmtId="0" fontId="23" fillId="33" borderId="14" xfId="0" applyFont="1" applyFill="1" applyBorder="1" applyAlignment="1">
      <alignment vertical="center"/>
    </xf>
    <xf numFmtId="0" fontId="23" fillId="35" borderId="0" xfId="0" applyFont="1" applyFill="1" applyAlignment="1">
      <alignment vertical="center"/>
    </xf>
    <xf numFmtId="0" fontId="21" fillId="35" borderId="0" xfId="0" applyFont="1" applyFill="1" applyAlignment="1"/>
    <xf numFmtId="164" fontId="23" fillId="35" borderId="0" xfId="0" applyNumberFormat="1" applyFont="1" applyFill="1" applyAlignment="1">
      <alignment vertical="center"/>
    </xf>
    <xf numFmtId="0" fontId="21" fillId="36" borderId="0" xfId="0" applyFont="1" applyFill="1" applyAlignment="1"/>
    <xf numFmtId="164" fontId="23" fillId="36" borderId="0" xfId="0" applyNumberFormat="1" applyFont="1" applyFill="1" applyAlignment="1">
      <alignment vertical="center"/>
    </xf>
    <xf numFmtId="164" fontId="23" fillId="33" borderId="14" xfId="0" applyNumberFormat="1" applyFont="1" applyFill="1" applyBorder="1" applyAlignment="1">
      <alignment vertical="center"/>
    </xf>
    <xf numFmtId="0" fontId="21" fillId="33" borderId="14" xfId="0" applyFont="1" applyFill="1" applyBorder="1" applyAlignment="1"/>
    <xf numFmtId="0" fontId="0" fillId="33" borderId="13" xfId="0" applyFill="1" applyBorder="1"/>
    <xf numFmtId="0" fontId="0" fillId="33" borderId="14" xfId="0" applyFont="1" applyFill="1" applyBorder="1"/>
    <xf numFmtId="43" fontId="0" fillId="0" borderId="0" xfId="0" applyNumberFormat="1"/>
    <xf numFmtId="0" fontId="21" fillId="33" borderId="11" xfId="0" applyFont="1" applyFill="1" applyBorder="1" applyAlignment="1"/>
    <xf numFmtId="0" fontId="21" fillId="33" borderId="12" xfId="0" applyFont="1" applyFill="1" applyBorder="1" applyAlignment="1"/>
    <xf numFmtId="44" fontId="0" fillId="0" borderId="0" xfId="0" applyNumberFormat="1"/>
    <xf numFmtId="0" fontId="21" fillId="33" borderId="0" xfId="0" applyFont="1" applyFill="1" applyBorder="1" applyAlignment="1">
      <alignment horizontal="center"/>
    </xf>
    <xf numFmtId="0" fontId="23" fillId="33" borderId="16" xfId="0" applyFont="1" applyFill="1" applyBorder="1" applyAlignment="1">
      <alignment horizontal="center" vertical="center"/>
    </xf>
    <xf numFmtId="0" fontId="23" fillId="33" borderId="0" xfId="0" applyFont="1" applyFill="1" applyBorder="1" applyAlignment="1">
      <alignment horizontal="center" vertical="center"/>
    </xf>
    <xf numFmtId="0" fontId="21" fillId="33" borderId="15" xfId="0" applyFont="1" applyFill="1" applyBorder="1" applyAlignment="1">
      <alignment horizontal="center" vertical="center"/>
    </xf>
    <xf numFmtId="0" fontId="21" fillId="33" borderId="11" xfId="0" applyFont="1" applyFill="1" applyBorder="1" applyAlignment="1">
      <alignment horizontal="center" vertical="center"/>
    </xf>
    <xf numFmtId="0" fontId="22" fillId="33" borderId="0" xfId="0" applyFont="1" applyFill="1" applyAlignment="1">
      <alignment horizontal="center"/>
    </xf>
    <xf numFmtId="0" fontId="24" fillId="33" borderId="0" xfId="0" applyFont="1" applyFill="1" applyAlignment="1">
      <alignment horizontal="center"/>
    </xf>
    <xf numFmtId="0" fontId="23" fillId="33" borderId="13" xfId="0" applyFont="1" applyFill="1" applyBorder="1" applyAlignment="1">
      <alignment horizontal="center" vertical="center"/>
    </xf>
    <xf numFmtId="164" fontId="23" fillId="33" borderId="16" xfId="0" applyNumberFormat="1" applyFont="1" applyFill="1" applyBorder="1" applyAlignment="1">
      <alignment horizontal="center" vertical="center"/>
    </xf>
    <xf numFmtId="164" fontId="23" fillId="33" borderId="0" xfId="0" applyNumberFormat="1" applyFont="1" applyFill="1" applyBorder="1" applyAlignment="1">
      <alignment horizontal="center" vertical="center"/>
    </xf>
    <xf numFmtId="164" fontId="23" fillId="33" borderId="13" xfId="0" applyNumberFormat="1" applyFont="1" applyFill="1" applyBorder="1" applyAlignment="1">
      <alignment horizontal="center" vertical="center"/>
    </xf>
    <xf numFmtId="0" fontId="21" fillId="33" borderId="15" xfId="0" applyFont="1" applyFill="1" applyBorder="1" applyAlignment="1">
      <alignment horizontal="center"/>
    </xf>
    <xf numFmtId="0" fontId="21" fillId="33" borderId="11" xfId="0" applyFont="1" applyFill="1" applyBorder="1" applyAlignment="1">
      <alignment horizontal="center"/>
    </xf>
    <xf numFmtId="0" fontId="21" fillId="33" borderId="12" xfId="0" applyFont="1" applyFill="1" applyBorder="1" applyAlignment="1">
      <alignment horizontal="center"/>
    </xf>
    <xf numFmtId="0" fontId="21" fillId="33" borderId="21" xfId="0" applyFont="1" applyFill="1" applyBorder="1" applyAlignment="1">
      <alignment horizontal="center"/>
    </xf>
    <xf numFmtId="0" fontId="21" fillId="33" borderId="22" xfId="0" applyFont="1" applyFill="1" applyBorder="1" applyAlignment="1">
      <alignment horizontal="center"/>
    </xf>
    <xf numFmtId="0" fontId="21" fillId="33" borderId="20" xfId="0" applyFont="1" applyFill="1" applyBorder="1" applyAlignment="1">
      <alignment horizontal="center"/>
    </xf>
    <xf numFmtId="0" fontId="23" fillId="33" borderId="18" xfId="0" applyFont="1" applyFill="1" applyBorder="1" applyAlignment="1">
      <alignment horizontal="center" vertical="center"/>
    </xf>
    <xf numFmtId="0" fontId="23" fillId="33" borderId="17" xfId="0" applyFont="1" applyFill="1" applyBorder="1" applyAlignment="1">
      <alignment horizontal="center" vertical="center"/>
    </xf>
    <xf numFmtId="0" fontId="23" fillId="33" borderId="19" xfId="0" applyFont="1" applyFill="1" applyBorder="1" applyAlignment="1">
      <alignment horizontal="center" vertical="center"/>
    </xf>
    <xf numFmtId="0" fontId="23" fillId="33" borderId="16" xfId="0" applyFont="1" applyFill="1" applyBorder="1" applyAlignment="1">
      <alignment horizontal="center"/>
    </xf>
    <xf numFmtId="0" fontId="23" fillId="33" borderId="0" xfId="0" applyFont="1" applyFill="1" applyBorder="1" applyAlignment="1">
      <alignment horizontal="center"/>
    </xf>
    <xf numFmtId="0" fontId="23" fillId="33" borderId="13" xfId="0" applyFont="1" applyFill="1" applyBorder="1" applyAlignment="1">
      <alignment horizontal="center"/>
    </xf>
    <xf numFmtId="0" fontId="23" fillId="33" borderId="0" xfId="0" applyFont="1" applyFill="1" applyAlignment="1">
      <alignment horizontal="center" vertical="center"/>
    </xf>
    <xf numFmtId="0" fontId="21" fillId="33" borderId="12" xfId="0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4" formatCode="_-&quot;$&quot;* #,##0.00_-;\-&quot;$&quot;* #,##0.00_-;_-&quot;$&quot;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[Branch Revenue and Profitability.xlsx]Pivot_Tables!PivotTable13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j-lt"/>
                <a:ea typeface="Verdana" panose="020B0604030504040204" pitchFamily="34" charset="0"/>
                <a:cs typeface="+mn-cs"/>
              </a:defRPr>
            </a:pPr>
            <a:r>
              <a:rPr lang="en-US"/>
              <a:t>Top and Worst Revenue Making Branches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j-lt"/>
              <a:ea typeface="Verdana" panose="020B0604030504040204" pitchFamily="34" charset="0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Pivot_Tables!$A$4:$A$10</c:f>
              <c:strCache>
                <c:ptCount val="6"/>
                <c:pt idx="0">
                  <c:v>Red Deer Branch</c:v>
                </c:pt>
                <c:pt idx="1">
                  <c:v>St. Albert Branch</c:v>
                </c:pt>
                <c:pt idx="2">
                  <c:v>Grand Prairie Branch</c:v>
                </c:pt>
                <c:pt idx="3">
                  <c:v>Leduc Branch</c:v>
                </c:pt>
                <c:pt idx="4">
                  <c:v>Rocky Mountain Branch</c:v>
                </c:pt>
                <c:pt idx="5">
                  <c:v>Bonnyvile Branch</c:v>
                </c:pt>
              </c:strCache>
            </c:strRef>
          </c:cat>
          <c:val>
            <c:numRef>
              <c:f>Pivot_Tables!$B$4:$B$10</c:f>
              <c:numCache>
                <c:formatCode>_(* #,##0.00_);_(* \(#,##0.00\);_(* "-"??_);_(@_)</c:formatCode>
                <c:ptCount val="6"/>
                <c:pt idx="0">
                  <c:v>5372857.3300000001</c:v>
                </c:pt>
                <c:pt idx="1">
                  <c:v>3991337.8</c:v>
                </c:pt>
                <c:pt idx="2">
                  <c:v>3778639.08</c:v>
                </c:pt>
                <c:pt idx="3">
                  <c:v>1169121.47</c:v>
                </c:pt>
                <c:pt idx="4">
                  <c:v>1127087.08</c:v>
                </c:pt>
                <c:pt idx="5">
                  <c:v>500247.08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9B-4A66-AF7A-9712CEAAB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7452304"/>
        <c:axId val="2017454800"/>
      </c:barChart>
      <c:catAx>
        <c:axId val="201745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j-lt"/>
                <a:ea typeface="Verdana" panose="020B0604030504040204" pitchFamily="34" charset="0"/>
                <a:cs typeface="+mn-cs"/>
              </a:defRPr>
            </a:pPr>
            <a:endParaRPr lang="en-US"/>
          </a:p>
        </c:txPr>
        <c:crossAx val="2017454800"/>
        <c:crosses val="autoZero"/>
        <c:auto val="1"/>
        <c:lblAlgn val="ctr"/>
        <c:lblOffset val="100"/>
        <c:noMultiLvlLbl val="0"/>
      </c:catAx>
      <c:valAx>
        <c:axId val="201745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j-lt"/>
                <a:ea typeface="Verdana" panose="020B0604030504040204" pitchFamily="34" charset="0"/>
                <a:cs typeface="+mn-cs"/>
              </a:defRPr>
            </a:pPr>
            <a:endParaRPr lang="en-US"/>
          </a:p>
        </c:txPr>
        <c:crossAx val="2017452304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/>
                </a:solidFill>
                <a:latin typeface="+mj-lt"/>
                <a:ea typeface="Verdana" panose="020B0604030504040204" pitchFamily="34" charset="0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5400000">
        <a:prstClr val="black">
          <a:alpha val="50000"/>
        </a:prstClr>
      </a:innerShdw>
    </a:effectLst>
  </c:spPr>
  <c:txPr>
    <a:bodyPr/>
    <a:lstStyle/>
    <a:p>
      <a:pPr>
        <a:defRPr>
          <a:solidFill>
            <a:schemeClr val="tx1"/>
          </a:solidFill>
          <a:latin typeface="+mj-lt"/>
          <a:ea typeface="Verdana" panose="020B060403050404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[Branch Revenue and Profitability.xlsx]Pivot_Tables!PivotTable14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j-lt"/>
                <a:ea typeface="Verdana" panose="020B0604030504040204" pitchFamily="34" charset="0"/>
                <a:cs typeface="+mn-cs"/>
              </a:defRPr>
            </a:pPr>
            <a:r>
              <a:rPr lang="en-US"/>
              <a:t>Top and Worst Profit Making Branches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j-lt"/>
              <a:ea typeface="Verdana" panose="020B0604030504040204" pitchFamily="34" charset="0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Pivot_Tables!$A$15:$A$21</c:f>
              <c:strCache>
                <c:ptCount val="6"/>
                <c:pt idx="0">
                  <c:v>Red Deer Branch</c:v>
                </c:pt>
                <c:pt idx="1">
                  <c:v>Grand Prairie Branch</c:v>
                </c:pt>
                <c:pt idx="2">
                  <c:v>Edmonton North Branch</c:v>
                </c:pt>
                <c:pt idx="3">
                  <c:v>Leduc Branch</c:v>
                </c:pt>
                <c:pt idx="4">
                  <c:v>Bonnyvile Branch</c:v>
                </c:pt>
                <c:pt idx="5">
                  <c:v>Borealis Branch</c:v>
                </c:pt>
              </c:strCache>
            </c:strRef>
          </c:cat>
          <c:val>
            <c:numRef>
              <c:f>Pivot_Tables!$B$15:$B$21</c:f>
              <c:numCache>
                <c:formatCode>_(* #,##0.00_);_(* \(#,##0.00\);_(* "-"??_);_(@_)</c:formatCode>
                <c:ptCount val="6"/>
                <c:pt idx="0">
                  <c:v>4614393.34</c:v>
                </c:pt>
                <c:pt idx="1">
                  <c:v>2901585.29</c:v>
                </c:pt>
                <c:pt idx="2">
                  <c:v>2553392.87</c:v>
                </c:pt>
                <c:pt idx="3">
                  <c:v>-994622.48</c:v>
                </c:pt>
                <c:pt idx="4">
                  <c:v>-1143633.6399999999</c:v>
                </c:pt>
                <c:pt idx="5">
                  <c:v>-1356792.63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FB-4FEA-B519-F6EB87195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6898288"/>
        <c:axId val="326902864"/>
      </c:barChart>
      <c:catAx>
        <c:axId val="32689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j-lt"/>
                <a:ea typeface="Verdana" panose="020B0604030504040204" pitchFamily="34" charset="0"/>
                <a:cs typeface="+mn-cs"/>
              </a:defRPr>
            </a:pPr>
            <a:endParaRPr lang="en-US"/>
          </a:p>
        </c:txPr>
        <c:crossAx val="326902864"/>
        <c:crosses val="autoZero"/>
        <c:auto val="1"/>
        <c:lblAlgn val="ctr"/>
        <c:lblOffset val="100"/>
        <c:noMultiLvlLbl val="0"/>
      </c:catAx>
      <c:valAx>
        <c:axId val="32690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j-lt"/>
                <a:ea typeface="Verdana" panose="020B0604030504040204" pitchFamily="34" charset="0"/>
                <a:cs typeface="+mn-cs"/>
              </a:defRPr>
            </a:pPr>
            <a:endParaRPr lang="en-US"/>
          </a:p>
        </c:txPr>
        <c:crossAx val="326898288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/>
                </a:solidFill>
                <a:latin typeface="+mj-lt"/>
                <a:ea typeface="Verdana" panose="020B0604030504040204" pitchFamily="34" charset="0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5400000">
        <a:prstClr val="black">
          <a:alpha val="50000"/>
        </a:prstClr>
      </a:innerShdw>
    </a:effectLst>
  </c:spPr>
  <c:txPr>
    <a:bodyPr/>
    <a:lstStyle/>
    <a:p>
      <a:pPr>
        <a:defRPr>
          <a:solidFill>
            <a:schemeClr val="tx1"/>
          </a:solidFill>
          <a:latin typeface="+mj-lt"/>
          <a:ea typeface="Verdana" panose="020B060403050404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[Branch Revenue and Profitability.xlsx]Pivot_Tables!PivotTable7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r>
              <a:rPr lang="en-CA"/>
              <a:t>Segment Income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7"/>
      </c:pivotFmt>
      <c:pivotFmt>
        <c:idx val="8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9"/>
      </c:pivotFmt>
      <c:pivotFmt>
        <c:idx val="10"/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Pivot_Tables!$B$25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A82-4375-BAD3-10D69774B2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A82-4375-BAD3-10D69774B2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A82-4375-BAD3-10D69774B25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A82-4375-BAD3-10D69774B250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Pivot_Tables!$A$26:$A$30</c:f>
              <c:strCache>
                <c:ptCount val="4"/>
                <c:pt idx="0">
                  <c:v>SME</c:v>
                </c:pt>
                <c:pt idx="1">
                  <c:v>retail</c:v>
                </c:pt>
                <c:pt idx="2">
                  <c:v>corporate</c:v>
                </c:pt>
                <c:pt idx="3">
                  <c:v>prestige</c:v>
                </c:pt>
              </c:strCache>
            </c:strRef>
          </c:cat>
          <c:val>
            <c:numRef>
              <c:f>Pivot_Tables!$B$26:$B$30</c:f>
              <c:numCache>
                <c:formatCode>_(* #,##0.00_);_(* \(#,##0.00\);_(* "-"??_);_(@_)</c:formatCode>
                <c:ptCount val="4"/>
                <c:pt idx="0">
                  <c:v>32998423.350000001</c:v>
                </c:pt>
                <c:pt idx="1">
                  <c:v>19952535.039999999</c:v>
                </c:pt>
                <c:pt idx="2">
                  <c:v>14580698.689999999</c:v>
                </c:pt>
                <c:pt idx="3">
                  <c:v>9208862.3300000001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A82-4375-BAD3-10D69774B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5400000">
        <a:prstClr val="black">
          <a:alpha val="50000"/>
        </a:prstClr>
      </a:innerShdw>
    </a:effectLst>
  </c:spPr>
  <c:txPr>
    <a:bodyPr/>
    <a:lstStyle/>
    <a:p>
      <a:pPr>
        <a:defRPr>
          <a:solidFill>
            <a:schemeClr val="tx1"/>
          </a:solidFill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[Branch Revenue and Profitability.xlsx]Pivot_Tables!PivotTable5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and Worst Product Profitability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Pivot_Tables!$D$4:$D$13</c:f>
              <c:multiLvlStrCache>
                <c:ptCount val="6"/>
                <c:lvl>
                  <c:pt idx="0">
                    <c:v>credit card</c:v>
                  </c:pt>
                  <c:pt idx="1">
                    <c:v>mortgage</c:v>
                  </c:pt>
                  <c:pt idx="2">
                    <c:v>mortgage</c:v>
                  </c:pt>
                  <c:pt idx="3">
                    <c:v>Red Deer Branch</c:v>
                  </c:pt>
                  <c:pt idx="4">
                    <c:v>Sherwood Park Branch</c:v>
                  </c:pt>
                  <c:pt idx="5">
                    <c:v>St. Albert Branch</c:v>
                  </c:pt>
                </c:lvl>
                <c:lvl>
                  <c:pt idx="0">
                    <c:v>Bonnyvile Branch</c:v>
                  </c:pt>
                  <c:pt idx="2">
                    <c:v>Borealis Branch</c:v>
                  </c:pt>
                  <c:pt idx="3">
                    <c:v>mortgage</c:v>
                  </c:pt>
                </c:lvl>
              </c:multiLvlStrCache>
            </c:multiLvlStrRef>
          </c:cat>
          <c:val>
            <c:numRef>
              <c:f>Pivot_Tables!$E$4:$E$13</c:f>
              <c:numCache>
                <c:formatCode>_(* #,##0.00_);_(* \(#,##0.00\);_(* "-"??_);_(@_)</c:formatCode>
                <c:ptCount val="6"/>
                <c:pt idx="0">
                  <c:v>-243590.34</c:v>
                </c:pt>
                <c:pt idx="1">
                  <c:v>-612889.44999999995</c:v>
                </c:pt>
                <c:pt idx="2">
                  <c:v>-326353.90999999997</c:v>
                </c:pt>
                <c:pt idx="3">
                  <c:v>1434496.31</c:v>
                </c:pt>
                <c:pt idx="4">
                  <c:v>708881.13</c:v>
                </c:pt>
                <c:pt idx="5">
                  <c:v>1109463.08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3B-4570-A07A-A3A624B59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0571472"/>
        <c:axId val="320567728"/>
      </c:barChart>
      <c:catAx>
        <c:axId val="32057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320567728"/>
        <c:crosses val="autoZero"/>
        <c:auto val="1"/>
        <c:lblAlgn val="ctr"/>
        <c:lblOffset val="100"/>
        <c:noMultiLvlLbl val="0"/>
      </c:catAx>
      <c:valAx>
        <c:axId val="32056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320571472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5400000">
        <a:prstClr val="black">
          <a:alpha val="50000"/>
        </a:prstClr>
      </a:innerShdw>
    </a:effectLst>
  </c:spPr>
  <c:txPr>
    <a:bodyPr/>
    <a:lstStyle/>
    <a:p>
      <a:pPr>
        <a:defRPr>
          <a:solidFill>
            <a:schemeClr val="tx1"/>
          </a:solidFill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[Branch Revenue and Profitability.xlsx]Pivot_Tables!PivotTable9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r>
              <a:rPr lang="en-US"/>
              <a:t>Regional Profitability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Pivot_Tables!$E$17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C4B-462D-B7CD-363FB97E1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C4B-462D-B7CD-363FB97E1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C4B-462D-B7CD-363FB97E1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C4B-462D-B7CD-363FB97E1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C4B-462D-B7CD-363FB97E10B4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Pivot_Tables!$D$18:$D$23</c:f>
              <c:strCache>
                <c:ptCount val="5"/>
                <c:pt idx="0">
                  <c:v>Central</c:v>
                </c:pt>
                <c:pt idx="1">
                  <c:v>Edmonton</c:v>
                </c:pt>
                <c:pt idx="2">
                  <c:v>North</c:v>
                </c:pt>
                <c:pt idx="3">
                  <c:v>Calgary</c:v>
                </c:pt>
                <c:pt idx="4">
                  <c:v>South</c:v>
                </c:pt>
              </c:strCache>
            </c:strRef>
          </c:cat>
          <c:val>
            <c:numRef>
              <c:f>Pivot_Tables!$E$18:$E$23</c:f>
              <c:numCache>
                <c:formatCode>_(* #,##0.00_);_(* \(#,##0.00\);_(* "-"??_);_(@_)</c:formatCode>
                <c:ptCount val="5"/>
                <c:pt idx="0">
                  <c:v>7172463.6900000004</c:v>
                </c:pt>
                <c:pt idx="1">
                  <c:v>7140142.8300000001</c:v>
                </c:pt>
                <c:pt idx="2">
                  <c:v>5563110.96</c:v>
                </c:pt>
                <c:pt idx="3">
                  <c:v>2425064.2799999998</c:v>
                </c:pt>
                <c:pt idx="4">
                  <c:v>1219318.24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C4B-462D-B7CD-363FB97E1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5400000">
        <a:prstClr val="black">
          <a:alpha val="50000"/>
        </a:prstClr>
      </a:innerShdw>
    </a:effectLst>
  </c:spPr>
  <c:txPr>
    <a:bodyPr/>
    <a:lstStyle/>
    <a:p>
      <a:pPr>
        <a:defRPr>
          <a:solidFill>
            <a:schemeClr val="tx1"/>
          </a:solidFill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[Branch Revenue and Profitability.xlsx]Pivot_Tables!PivotTable12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r>
              <a:rPr lang="en-US"/>
              <a:t>Severe</a:t>
            </a:r>
            <a:r>
              <a:rPr lang="en-US" baseline="0"/>
              <a:t> Loss on Savings Product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Pivot_Tables!$G$4:$G$29</c:f>
              <c:strCache>
                <c:ptCount val="25"/>
                <c:pt idx="0">
                  <c:v>Lloydminster Branch</c:v>
                </c:pt>
                <c:pt idx="1">
                  <c:v>Aspen Branch</c:v>
                </c:pt>
                <c:pt idx="2">
                  <c:v>Bighorn Branch</c:v>
                </c:pt>
                <c:pt idx="3">
                  <c:v>Calgary South Branch</c:v>
                </c:pt>
                <c:pt idx="4">
                  <c:v>Mosaic Branch</c:v>
                </c:pt>
                <c:pt idx="5">
                  <c:v>Chinook Branch</c:v>
                </c:pt>
                <c:pt idx="6">
                  <c:v>Edmonton South Branch</c:v>
                </c:pt>
                <c:pt idx="7">
                  <c:v>Mcleod River Branch</c:v>
                </c:pt>
                <c:pt idx="8">
                  <c:v>Bow Valley Branch</c:v>
                </c:pt>
                <c:pt idx="9">
                  <c:v>Camrose Branch</c:v>
                </c:pt>
                <c:pt idx="10">
                  <c:v>Palliser Branch</c:v>
                </c:pt>
                <c:pt idx="11">
                  <c:v>Calgary West Branch</c:v>
                </c:pt>
                <c:pt idx="12">
                  <c:v>Rocky Mountain Branch</c:v>
                </c:pt>
                <c:pt idx="13">
                  <c:v>Calgary Foothills Branch</c:v>
                </c:pt>
                <c:pt idx="14">
                  <c:v>Leduc Branch</c:v>
                </c:pt>
                <c:pt idx="15">
                  <c:v>Cold Lake Branch</c:v>
                </c:pt>
                <c:pt idx="16">
                  <c:v>Wood Buffalo Branch</c:v>
                </c:pt>
                <c:pt idx="17">
                  <c:v>Wetaskiwin Branch</c:v>
                </c:pt>
                <c:pt idx="18">
                  <c:v>Northwest Branch</c:v>
                </c:pt>
                <c:pt idx="19">
                  <c:v>Edmonton North Branch</c:v>
                </c:pt>
                <c:pt idx="20">
                  <c:v>Lakeland Branch</c:v>
                </c:pt>
                <c:pt idx="21">
                  <c:v>Calgary Rural Branch</c:v>
                </c:pt>
                <c:pt idx="22">
                  <c:v>Drayton Valley Branch</c:v>
                </c:pt>
                <c:pt idx="23">
                  <c:v>Borealis Branch</c:v>
                </c:pt>
                <c:pt idx="24">
                  <c:v>Bonnyvile Branch</c:v>
                </c:pt>
              </c:strCache>
            </c:strRef>
          </c:cat>
          <c:val>
            <c:numRef>
              <c:f>Pivot_Tables!$H$4:$H$29</c:f>
              <c:numCache>
                <c:formatCode>_("$"* #,##0.00_);_("$"* \(#,##0.00\);_("$"* "-"??_);_(@_)</c:formatCode>
                <c:ptCount val="25"/>
                <c:pt idx="0">
                  <c:v>-7191.36</c:v>
                </c:pt>
                <c:pt idx="1">
                  <c:v>-10454.61</c:v>
                </c:pt>
                <c:pt idx="2">
                  <c:v>-12065.32</c:v>
                </c:pt>
                <c:pt idx="3">
                  <c:v>-13020.05</c:v>
                </c:pt>
                <c:pt idx="4">
                  <c:v>-14112.87</c:v>
                </c:pt>
                <c:pt idx="5">
                  <c:v>-18451.560000000001</c:v>
                </c:pt>
                <c:pt idx="6">
                  <c:v>-18508.29</c:v>
                </c:pt>
                <c:pt idx="7">
                  <c:v>-19385</c:v>
                </c:pt>
                <c:pt idx="8">
                  <c:v>-21213.06</c:v>
                </c:pt>
                <c:pt idx="9">
                  <c:v>-23047.64</c:v>
                </c:pt>
                <c:pt idx="10">
                  <c:v>-23458.05</c:v>
                </c:pt>
                <c:pt idx="11">
                  <c:v>-24316.51</c:v>
                </c:pt>
                <c:pt idx="12">
                  <c:v>-24346.67</c:v>
                </c:pt>
                <c:pt idx="13">
                  <c:v>-27606.54</c:v>
                </c:pt>
                <c:pt idx="14">
                  <c:v>-27880.639999999999</c:v>
                </c:pt>
                <c:pt idx="15">
                  <c:v>-30158.81</c:v>
                </c:pt>
                <c:pt idx="16">
                  <c:v>-33102.839999999997</c:v>
                </c:pt>
                <c:pt idx="17">
                  <c:v>-35397.71</c:v>
                </c:pt>
                <c:pt idx="18">
                  <c:v>-37443.449999999997</c:v>
                </c:pt>
                <c:pt idx="19">
                  <c:v>-56929.91</c:v>
                </c:pt>
                <c:pt idx="20">
                  <c:v>-68941.67</c:v>
                </c:pt>
                <c:pt idx="21">
                  <c:v>-77803.92</c:v>
                </c:pt>
                <c:pt idx="22">
                  <c:v>-84676.19</c:v>
                </c:pt>
                <c:pt idx="23">
                  <c:v>-88943.38</c:v>
                </c:pt>
                <c:pt idx="24">
                  <c:v>-92869.21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64-4A87-9CFB-D08DC7449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7451888"/>
        <c:axId val="2017452720"/>
      </c:barChart>
      <c:catAx>
        <c:axId val="201745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2017452720"/>
        <c:crosses val="autoZero"/>
        <c:auto val="1"/>
        <c:lblAlgn val="ctr"/>
        <c:lblOffset val="100"/>
        <c:noMultiLvlLbl val="0"/>
      </c:catAx>
      <c:valAx>
        <c:axId val="201745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2017451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5400000">
        <a:prstClr val="black">
          <a:alpha val="50000"/>
        </a:prstClr>
      </a:innerShdw>
    </a:effectLst>
  </c:spPr>
  <c:txPr>
    <a:bodyPr/>
    <a:lstStyle/>
    <a:p>
      <a:pPr>
        <a:defRPr>
          <a:solidFill>
            <a:schemeClr val="tx1"/>
          </a:solidFill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[Branch Revenue and Profitability.xlsx]Pivot_Tables!PivotTable15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r>
              <a:rPr lang="en-US"/>
              <a:t>Income to Cost Ratio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Pivot_Tables!$K$3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Pivot_Tables!$J$4:$J$33</c:f>
              <c:strCache>
                <c:ptCount val="29"/>
                <c:pt idx="0">
                  <c:v>Red Deer Branch</c:v>
                </c:pt>
                <c:pt idx="1">
                  <c:v>Grand Prairie Branch</c:v>
                </c:pt>
                <c:pt idx="2">
                  <c:v>Edmonton North Branch</c:v>
                </c:pt>
                <c:pt idx="3">
                  <c:v>Calgary South Branch</c:v>
                </c:pt>
                <c:pt idx="4">
                  <c:v>Edmonton South Branch</c:v>
                </c:pt>
                <c:pt idx="5">
                  <c:v>Aspen Branch</c:v>
                </c:pt>
                <c:pt idx="6">
                  <c:v>Sherwood Park Branch</c:v>
                </c:pt>
                <c:pt idx="7">
                  <c:v>Bighorn Branch</c:v>
                </c:pt>
                <c:pt idx="8">
                  <c:v>St. Albert Branch</c:v>
                </c:pt>
                <c:pt idx="9">
                  <c:v>Lakeland Branch</c:v>
                </c:pt>
                <c:pt idx="10">
                  <c:v>Calgary West Branch</c:v>
                </c:pt>
                <c:pt idx="11">
                  <c:v>Drayton Valley Branch</c:v>
                </c:pt>
                <c:pt idx="12">
                  <c:v>Wetaskiwin Branch</c:v>
                </c:pt>
                <c:pt idx="13">
                  <c:v>Mosaic Branch</c:v>
                </c:pt>
                <c:pt idx="14">
                  <c:v>Camrose Branch</c:v>
                </c:pt>
                <c:pt idx="15">
                  <c:v>Palliser Branch</c:v>
                </c:pt>
                <c:pt idx="16">
                  <c:v>Chinook Branch</c:v>
                </c:pt>
                <c:pt idx="17">
                  <c:v>Northwest Branch</c:v>
                </c:pt>
                <c:pt idx="18">
                  <c:v>Wood Buffalo Branch</c:v>
                </c:pt>
                <c:pt idx="19">
                  <c:v>Cold Lake Branch</c:v>
                </c:pt>
                <c:pt idx="20">
                  <c:v>Lloydminster Branch</c:v>
                </c:pt>
                <c:pt idx="21">
                  <c:v>Calgary Rural Branch</c:v>
                </c:pt>
                <c:pt idx="22">
                  <c:v>Bow Valley Branch</c:v>
                </c:pt>
                <c:pt idx="23">
                  <c:v>Mcleod River Branch</c:v>
                </c:pt>
                <c:pt idx="24">
                  <c:v>Calgary Foothills Branch</c:v>
                </c:pt>
                <c:pt idx="25">
                  <c:v>Rocky Mountain Branch</c:v>
                </c:pt>
                <c:pt idx="26">
                  <c:v>Leduc Branch</c:v>
                </c:pt>
                <c:pt idx="27">
                  <c:v>Borealis Branch</c:v>
                </c:pt>
                <c:pt idx="28">
                  <c:v>Bonnyvile Branch</c:v>
                </c:pt>
              </c:strCache>
            </c:strRef>
          </c:cat>
          <c:val>
            <c:numRef>
              <c:f>Pivot_Tables!$K$4:$K$33</c:f>
              <c:numCache>
                <c:formatCode>General</c:formatCode>
                <c:ptCount val="29"/>
                <c:pt idx="0">
                  <c:v>7.08</c:v>
                </c:pt>
                <c:pt idx="1">
                  <c:v>4.3099999999999996</c:v>
                </c:pt>
                <c:pt idx="2">
                  <c:v>3.69</c:v>
                </c:pt>
                <c:pt idx="3">
                  <c:v>3.02</c:v>
                </c:pt>
                <c:pt idx="4">
                  <c:v>2.65</c:v>
                </c:pt>
                <c:pt idx="5">
                  <c:v>2.56</c:v>
                </c:pt>
                <c:pt idx="6">
                  <c:v>2.54</c:v>
                </c:pt>
                <c:pt idx="7">
                  <c:v>2.27</c:v>
                </c:pt>
                <c:pt idx="8">
                  <c:v>2.13</c:v>
                </c:pt>
                <c:pt idx="9">
                  <c:v>2.0299999999999998</c:v>
                </c:pt>
                <c:pt idx="10">
                  <c:v>1.7</c:v>
                </c:pt>
                <c:pt idx="11">
                  <c:v>1.53</c:v>
                </c:pt>
                <c:pt idx="12">
                  <c:v>1.4</c:v>
                </c:pt>
                <c:pt idx="13">
                  <c:v>1.28</c:v>
                </c:pt>
                <c:pt idx="14">
                  <c:v>1.26</c:v>
                </c:pt>
                <c:pt idx="15">
                  <c:v>1.26</c:v>
                </c:pt>
                <c:pt idx="16">
                  <c:v>1.24</c:v>
                </c:pt>
                <c:pt idx="17">
                  <c:v>1.2</c:v>
                </c:pt>
                <c:pt idx="18">
                  <c:v>1.0900000000000001</c:v>
                </c:pt>
                <c:pt idx="19">
                  <c:v>1.07</c:v>
                </c:pt>
                <c:pt idx="20">
                  <c:v>1.04</c:v>
                </c:pt>
                <c:pt idx="21">
                  <c:v>0.99</c:v>
                </c:pt>
                <c:pt idx="22">
                  <c:v>0.88</c:v>
                </c:pt>
                <c:pt idx="23">
                  <c:v>0.85</c:v>
                </c:pt>
                <c:pt idx="24">
                  <c:v>0.75</c:v>
                </c:pt>
                <c:pt idx="25">
                  <c:v>0.67</c:v>
                </c:pt>
                <c:pt idx="26">
                  <c:v>0.54</c:v>
                </c:pt>
                <c:pt idx="27">
                  <c:v>0.52</c:v>
                </c:pt>
                <c:pt idx="28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7E-4A23-99B1-C3107277E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9035200"/>
        <c:axId val="379038528"/>
      </c:lineChart>
      <c:catAx>
        <c:axId val="37903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379038528"/>
        <c:crosses val="autoZero"/>
        <c:auto val="1"/>
        <c:lblAlgn val="ctr"/>
        <c:lblOffset val="100"/>
        <c:noMultiLvlLbl val="0"/>
      </c:catAx>
      <c:valAx>
        <c:axId val="37903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37903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5400000">
        <a:prstClr val="black">
          <a:alpha val="50000"/>
        </a:prstClr>
      </a:innerShdw>
    </a:effectLst>
  </c:spPr>
  <c:txPr>
    <a:bodyPr/>
    <a:lstStyle/>
    <a:p>
      <a:pPr>
        <a:defRPr>
          <a:solidFill>
            <a:schemeClr val="tx1"/>
          </a:solidFill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7619</xdr:colOff>
      <xdr:row>10</xdr:row>
      <xdr:rowOff>47625</xdr:rowOff>
    </xdr:from>
    <xdr:to>
      <xdr:col>12</xdr:col>
      <xdr:colOff>57150</xdr:colOff>
      <xdr:row>25</xdr:row>
      <xdr:rowOff>85726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66675</xdr:colOff>
      <xdr:row>10</xdr:row>
      <xdr:rowOff>47625</xdr:rowOff>
    </xdr:from>
    <xdr:to>
      <xdr:col>23</xdr:col>
      <xdr:colOff>371474</xdr:colOff>
      <xdr:row>25</xdr:row>
      <xdr:rowOff>95250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15239</xdr:colOff>
      <xdr:row>25</xdr:row>
      <xdr:rowOff>95250</xdr:rowOff>
    </xdr:from>
    <xdr:to>
      <xdr:col>20</xdr:col>
      <xdr:colOff>466725</xdr:colOff>
      <xdr:row>43</xdr:row>
      <xdr:rowOff>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371475</xdr:colOff>
      <xdr:row>10</xdr:row>
      <xdr:rowOff>47626</xdr:rowOff>
    </xdr:from>
    <xdr:to>
      <xdr:col>31</xdr:col>
      <xdr:colOff>600075</xdr:colOff>
      <xdr:row>25</xdr:row>
      <xdr:rowOff>85725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20954</xdr:colOff>
      <xdr:row>25</xdr:row>
      <xdr:rowOff>89534</xdr:rowOff>
    </xdr:from>
    <xdr:to>
      <xdr:col>10</xdr:col>
      <xdr:colOff>66674</xdr:colOff>
      <xdr:row>42</xdr:row>
      <xdr:rowOff>161924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476251</xdr:colOff>
      <xdr:row>25</xdr:row>
      <xdr:rowOff>100964</xdr:rowOff>
    </xdr:from>
    <xdr:to>
      <xdr:col>32</xdr:col>
      <xdr:colOff>5715</xdr:colOff>
      <xdr:row>59</xdr:row>
      <xdr:rowOff>152399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38099</xdr:colOff>
      <xdr:row>42</xdr:row>
      <xdr:rowOff>152399</xdr:rowOff>
    </xdr:from>
    <xdr:to>
      <xdr:col>20</xdr:col>
      <xdr:colOff>447675</xdr:colOff>
      <xdr:row>59</xdr:row>
      <xdr:rowOff>152399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055.465053356478" createdVersion="6" refreshedVersion="6" minRefreshableVersion="3" recordCount="25">
  <cacheSource type="worksheet">
    <worksheetSource name="Table7"/>
  </cacheSource>
  <cacheFields count="2">
    <cacheField name="branch_name" numFmtId="0">
      <sharedItems count="25">
        <s v="Lloydminster Branch"/>
        <s v="Aspen Branch"/>
        <s v="Bighorn Branch"/>
        <s v="Calgary South Branch"/>
        <s v="Mosaic Branch"/>
        <s v="Chinook Branch"/>
        <s v="Edmonton South Branch"/>
        <s v="Mcleod River Branch"/>
        <s v="Bow Valley Branch"/>
        <s v="Camrose Branch"/>
        <s v="Palliser Branch"/>
        <s v="Calgary West Branch"/>
        <s v="Rocky Mountain Branch"/>
        <s v="Calgary Foothills Branch"/>
        <s v="Leduc Branch"/>
        <s v="Cold Lake Branch"/>
        <s v="Wood Buffalo Branch"/>
        <s v="Wetaskiwin Branch"/>
        <s v="Northwest Branch"/>
        <s v="Edmonton North Branch"/>
        <s v="Lakeland Branch"/>
        <s v="Calgary Rural Branch"/>
        <s v="Drayton Valley Branch"/>
        <s v="Borealis Branch"/>
        <s v="Bonnyvile Branch"/>
      </sharedItems>
    </cacheField>
    <cacheField name="savings_profit" numFmtId="0">
      <sharedItems containsSemiMixedTypes="0" containsString="0" containsNumber="1" minValue="-92869.21" maxValue="-7191.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p" refreshedDate="46055.538310185184" createdVersion="6" refreshedVersion="6" minRefreshableVersion="3" recordCount="6">
  <cacheSource type="worksheet">
    <worksheetSource name="Table3"/>
  </cacheSource>
  <cacheFields count="3">
    <cacheField name="product" numFmtId="0">
      <sharedItems count="3">
        <s v="mortgage"/>
        <s v="Bonnyvile Branch"/>
        <s v="Borealis Branch"/>
      </sharedItems>
    </cacheField>
    <cacheField name="branch" numFmtId="0">
      <sharedItems count="5">
        <s v="Red Deer Branch"/>
        <s v="St. Albert Branch"/>
        <s v="Sherwood Park Branch"/>
        <s v="credit card"/>
        <s v="mortgage"/>
      </sharedItems>
    </cacheField>
    <cacheField name="value" numFmtId="0">
      <sharedItems containsSemiMixedTypes="0" containsString="0" containsNumber="1" minValue="-612889.44999999995" maxValue="1434496.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Hp" refreshedDate="46055.538310532407" createdVersion="6" refreshedVersion="6" minRefreshableVersion="3" recordCount="4">
  <cacheSource type="worksheet">
    <worksheetSource name="Table5"/>
  </cacheSource>
  <cacheFields count="2">
    <cacheField name="segment_name" numFmtId="0">
      <sharedItems count="4">
        <s v="retail"/>
        <s v="SME"/>
        <s v="corporate"/>
        <s v="prestige"/>
      </sharedItems>
    </cacheField>
    <cacheField name="segment_income" numFmtId="0">
      <sharedItems containsSemiMixedTypes="0" containsString="0" containsNumber="1" minValue="9208862.3300000001" maxValue="32998423.35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Hp" refreshedDate="46055.538310763892" createdVersion="6" refreshedVersion="6" minRefreshableVersion="3" recordCount="5">
  <cacheSource type="worksheet">
    <worksheetSource name="Table6"/>
  </cacheSource>
  <cacheFields count="2">
    <cacheField name="branch_region" numFmtId="0">
      <sharedItems count="5">
        <s v="Calgary"/>
        <s v="Central"/>
        <s v="Edmonton"/>
        <s v="North"/>
        <s v="South"/>
      </sharedItems>
    </cacheField>
    <cacheField name="region_profit" numFmtId="0">
      <sharedItems containsSemiMixedTypes="0" containsString="0" containsNumber="1" minValue="1219318.24" maxValue="7172463.69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Hp" refreshedDate="46055.538311111108" createdVersion="6" refreshedVersion="6" minRefreshableVersion="3" recordCount="6">
  <cacheSource type="worksheet">
    <worksheetSource name="Table8"/>
  </cacheSource>
  <cacheFields count="3">
    <cacheField name="branch_name" numFmtId="0">
      <sharedItems count="6">
        <s v="Red Deer Branch"/>
        <s v="St. Albert Branch"/>
        <s v="Grand Prairie Branch"/>
        <s v="Leduc Branch"/>
        <s v="Rocky Mountain Branch"/>
        <s v="Bonnyvile Branch"/>
      </sharedItems>
    </cacheField>
    <cacheField name="branch_manager" numFmtId="0">
      <sharedItems/>
    </cacheField>
    <cacheField name="revenue" numFmtId="0">
      <sharedItems containsSemiMixedTypes="0" containsString="0" containsNumber="1" minValue="500247.08" maxValue="5372857.33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Hp" refreshedDate="46055.538311574077" createdVersion="6" refreshedVersion="6" minRefreshableVersion="3" recordCount="6">
  <cacheSource type="worksheet">
    <worksheetSource name="Table9"/>
  </cacheSource>
  <cacheFields count="3">
    <cacheField name="branch_name" numFmtId="0">
      <sharedItems count="6">
        <s v="Red Deer Branch"/>
        <s v="Grand Prairie Branch"/>
        <s v="Edmonton North Branch"/>
        <s v="Leduc Branch"/>
        <s v="Bonnyvile Branch"/>
        <s v="Borealis Branch"/>
      </sharedItems>
    </cacheField>
    <cacheField name="branch_manager" numFmtId="0">
      <sharedItems/>
    </cacheField>
    <cacheField name="profit" numFmtId="0">
      <sharedItems containsSemiMixedTypes="0" containsString="0" containsNumber="1" minValue="-1356792.63" maxValue="4614393.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Hp" refreshedDate="46055.958311574075" createdVersion="6" refreshedVersion="6" minRefreshableVersion="3" recordCount="29">
  <cacheSource type="worksheet">
    <worksheetSource name="Table10"/>
  </cacheSource>
  <cacheFields count="3">
    <cacheField name="branch_code" numFmtId="0">
      <sharedItems containsSemiMixedTypes="0" containsString="0" containsNumber="1" containsInteger="1" minValue="1" maxValue="29" count="29">
        <n v="12"/>
        <n v="23"/>
        <n v="13"/>
        <n v="4"/>
        <n v="14"/>
        <n v="25"/>
        <n v="16"/>
        <n v="24"/>
        <n v="17"/>
        <n v="19"/>
        <n v="3"/>
        <n v="10"/>
        <n v="8"/>
        <n v="5"/>
        <n v="9"/>
        <n v="29"/>
        <n v="28"/>
        <n v="18"/>
        <n v="22"/>
        <n v="21"/>
        <n v="7"/>
        <n v="2"/>
        <n v="1"/>
        <n v="27"/>
        <n v="6"/>
        <n v="11"/>
        <n v="15"/>
        <n v="26"/>
        <n v="20"/>
      </sharedItems>
    </cacheField>
    <cacheField name="branch_name" numFmtId="0">
      <sharedItems count="29">
        <s v="Red Deer Branch"/>
        <s v="Grand Prairie Branch"/>
        <s v="Edmonton North Branch"/>
        <s v="Calgary South Branch"/>
        <s v="Edmonton South Branch"/>
        <s v="Aspen Branch"/>
        <s v="Sherwood Park Branch"/>
        <s v="Bighorn Branch"/>
        <s v="St. Albert Branch"/>
        <s v="Lakeland Branch"/>
        <s v="Calgary West Branch"/>
        <s v="Drayton Valley Branch"/>
        <s v="Wetaskiwin Branch"/>
        <s v="Mosaic Branch"/>
        <s v="Camrose Branch"/>
        <s v="Palliser Branch"/>
        <s v="Chinook Branch"/>
        <s v="Northwest Branch"/>
        <s v="Wood Buffalo Branch"/>
        <s v="Cold Lake Branch"/>
        <s v="Lloydminster Branch"/>
        <s v="Calgary Rural Branch"/>
        <s v="Bow Valley Branch"/>
        <s v="Mcleod River Branch"/>
        <s v="Calgary Foothills Branch"/>
        <s v="Rocky Mountain Branch"/>
        <s v="Leduc Branch"/>
        <s v="Borealis Branch"/>
        <s v="Bonnyvile Branch"/>
      </sharedItems>
    </cacheField>
    <cacheField name="income_to_cost_ratio" numFmtId="0">
      <sharedItems containsSemiMixedTypes="0" containsString="0" containsNumber="1" minValue="0.3" maxValue="7.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">
  <r>
    <x v="0"/>
    <n v="-7191.36"/>
  </r>
  <r>
    <x v="1"/>
    <n v="-10454.61"/>
  </r>
  <r>
    <x v="2"/>
    <n v="-12065.32"/>
  </r>
  <r>
    <x v="3"/>
    <n v="-13020.05"/>
  </r>
  <r>
    <x v="4"/>
    <n v="-14112.87"/>
  </r>
  <r>
    <x v="5"/>
    <n v="-18451.560000000001"/>
  </r>
  <r>
    <x v="6"/>
    <n v="-18508.29"/>
  </r>
  <r>
    <x v="7"/>
    <n v="-19385"/>
  </r>
  <r>
    <x v="8"/>
    <n v="-21213.06"/>
  </r>
  <r>
    <x v="9"/>
    <n v="-23047.64"/>
  </r>
  <r>
    <x v="10"/>
    <n v="-23458.05"/>
  </r>
  <r>
    <x v="11"/>
    <n v="-24316.51"/>
  </r>
  <r>
    <x v="12"/>
    <n v="-24346.67"/>
  </r>
  <r>
    <x v="13"/>
    <n v="-27606.54"/>
  </r>
  <r>
    <x v="14"/>
    <n v="-27880.639999999999"/>
  </r>
  <r>
    <x v="15"/>
    <n v="-30158.81"/>
  </r>
  <r>
    <x v="16"/>
    <n v="-33102.839999999997"/>
  </r>
  <r>
    <x v="17"/>
    <n v="-35397.71"/>
  </r>
  <r>
    <x v="18"/>
    <n v="-37443.449999999997"/>
  </r>
  <r>
    <x v="19"/>
    <n v="-56929.91"/>
  </r>
  <r>
    <x v="20"/>
    <n v="-68941.67"/>
  </r>
  <r>
    <x v="21"/>
    <n v="-77803.92"/>
  </r>
  <r>
    <x v="22"/>
    <n v="-84676.19"/>
  </r>
  <r>
    <x v="23"/>
    <n v="-88943.38"/>
  </r>
  <r>
    <x v="24"/>
    <n v="-92869.2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">
  <r>
    <x v="0"/>
    <x v="0"/>
    <n v="1434496.31"/>
  </r>
  <r>
    <x v="0"/>
    <x v="1"/>
    <n v="1109463.08"/>
  </r>
  <r>
    <x v="0"/>
    <x v="2"/>
    <n v="708881.13"/>
  </r>
  <r>
    <x v="1"/>
    <x v="3"/>
    <n v="-243590.34"/>
  </r>
  <r>
    <x v="2"/>
    <x v="4"/>
    <n v="-326353.90999999997"/>
  </r>
  <r>
    <x v="1"/>
    <x v="4"/>
    <n v="-612889.4499999999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4">
  <r>
    <x v="0"/>
    <n v="19952535.039999999"/>
  </r>
  <r>
    <x v="1"/>
    <n v="32998423.350000001"/>
  </r>
  <r>
    <x v="2"/>
    <n v="14580698.689999999"/>
  </r>
  <r>
    <x v="3"/>
    <n v="9208862.330000000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5">
  <r>
    <x v="0"/>
    <n v="2425064.2799999998"/>
  </r>
  <r>
    <x v="1"/>
    <n v="7172463.6900000004"/>
  </r>
  <r>
    <x v="2"/>
    <n v="7140142.8300000001"/>
  </r>
  <r>
    <x v="3"/>
    <n v="5563110.96"/>
  </r>
  <r>
    <x v="4"/>
    <n v="1219318.2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6">
  <r>
    <x v="0"/>
    <s v="Elina Sellers"/>
    <n v="5372857.3300000001"/>
  </r>
  <r>
    <x v="1"/>
    <s v="Kira Parra"/>
    <n v="3991337.8"/>
  </r>
  <r>
    <x v="2"/>
    <s v="Zakai Doyle"/>
    <n v="3778639.08"/>
  </r>
  <r>
    <x v="3"/>
    <s v="Ivanna Berry"/>
    <n v="1169121.47"/>
  </r>
  <r>
    <x v="4"/>
    <s v="Kora Lu"/>
    <n v="1127087.08"/>
  </r>
  <r>
    <x v="5"/>
    <s v="Amoura Potter"/>
    <n v="500247.08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6">
  <r>
    <x v="0"/>
    <s v="Elina Sellers"/>
    <n v="4614393.34"/>
  </r>
  <r>
    <x v="1"/>
    <s v="Zakai Doyle"/>
    <n v="2901585.29"/>
  </r>
  <r>
    <x v="2"/>
    <s v="Amanda Sloan"/>
    <n v="2553392.87"/>
  </r>
  <r>
    <x v="3"/>
    <s v="Ivanna Berry"/>
    <n v="-994622.48"/>
  </r>
  <r>
    <x v="4"/>
    <s v="Amoura Potter"/>
    <n v="-1143633.6399999999"/>
  </r>
  <r>
    <x v="5"/>
    <s v="Duncan Oâ€™Connor"/>
    <n v="-1356792.63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29">
  <r>
    <x v="0"/>
    <x v="0"/>
    <n v="7.08"/>
  </r>
  <r>
    <x v="1"/>
    <x v="1"/>
    <n v="4.3099999999999996"/>
  </r>
  <r>
    <x v="2"/>
    <x v="2"/>
    <n v="3.69"/>
  </r>
  <r>
    <x v="3"/>
    <x v="3"/>
    <n v="3.02"/>
  </r>
  <r>
    <x v="4"/>
    <x v="4"/>
    <n v="2.65"/>
  </r>
  <r>
    <x v="5"/>
    <x v="5"/>
    <n v="2.56"/>
  </r>
  <r>
    <x v="6"/>
    <x v="6"/>
    <n v="2.54"/>
  </r>
  <r>
    <x v="7"/>
    <x v="7"/>
    <n v="2.27"/>
  </r>
  <r>
    <x v="8"/>
    <x v="8"/>
    <n v="2.13"/>
  </r>
  <r>
    <x v="9"/>
    <x v="9"/>
    <n v="2.0299999999999998"/>
  </r>
  <r>
    <x v="10"/>
    <x v="10"/>
    <n v="1.7"/>
  </r>
  <r>
    <x v="11"/>
    <x v="11"/>
    <n v="1.53"/>
  </r>
  <r>
    <x v="12"/>
    <x v="12"/>
    <n v="1.4"/>
  </r>
  <r>
    <x v="13"/>
    <x v="13"/>
    <n v="1.28"/>
  </r>
  <r>
    <x v="14"/>
    <x v="14"/>
    <n v="1.26"/>
  </r>
  <r>
    <x v="15"/>
    <x v="15"/>
    <n v="1.26"/>
  </r>
  <r>
    <x v="16"/>
    <x v="16"/>
    <n v="1.24"/>
  </r>
  <r>
    <x v="17"/>
    <x v="17"/>
    <n v="1.2"/>
  </r>
  <r>
    <x v="18"/>
    <x v="18"/>
    <n v="1.0900000000000001"/>
  </r>
  <r>
    <x v="19"/>
    <x v="19"/>
    <n v="1.07"/>
  </r>
  <r>
    <x v="20"/>
    <x v="20"/>
    <n v="1.04"/>
  </r>
  <r>
    <x v="21"/>
    <x v="21"/>
    <n v="0.99"/>
  </r>
  <r>
    <x v="22"/>
    <x v="22"/>
    <n v="0.88"/>
  </r>
  <r>
    <x v="23"/>
    <x v="23"/>
    <n v="0.85"/>
  </r>
  <r>
    <x v="24"/>
    <x v="24"/>
    <n v="0.75"/>
  </r>
  <r>
    <x v="25"/>
    <x v="25"/>
    <n v="0.67"/>
  </r>
  <r>
    <x v="26"/>
    <x v="26"/>
    <n v="0.54"/>
  </r>
  <r>
    <x v="27"/>
    <x v="27"/>
    <n v="0.52"/>
  </r>
  <r>
    <x v="28"/>
    <x v="28"/>
    <n v="0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name="PivotTable14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14:B21" firstHeaderRow="1" firstDataRow="1" firstDataCol="1"/>
  <pivotFields count="3">
    <pivotField axis="axisRow" showAll="0" sortType="descending">
      <items count="7">
        <item x="4"/>
        <item x="5"/>
        <item x="2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7">
    <i>
      <x v="5"/>
    </i>
    <i>
      <x v="3"/>
    </i>
    <i>
      <x v="2"/>
    </i>
    <i>
      <x v="4"/>
    </i>
    <i>
      <x/>
    </i>
    <i>
      <x v="1"/>
    </i>
    <i t="grand">
      <x/>
    </i>
  </rowItems>
  <colItems count="1">
    <i/>
  </colItems>
  <dataFields count="1">
    <dataField name="Sum of profit" fld="2" baseField="0" baseItem="0"/>
  </dataFields>
  <formats count="2">
    <format dxfId="25">
      <pivotArea collapsedLevelsAreSubtotals="1" fieldPosition="0">
        <references count="1">
          <reference field="0" count="0"/>
        </references>
      </pivotArea>
    </format>
    <format dxfId="24">
      <pivotArea grandRow="1" outline="0" collapsedLevelsAreSubtotals="1" fieldPosition="0"/>
    </format>
  </formats>
  <chartFormats count="1"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D3:E13" firstHeaderRow="1" firstDataRow="1" firstDataCol="1"/>
  <pivotFields count="3">
    <pivotField axis="axisRow" showAll="0">
      <items count="4">
        <item x="1"/>
        <item x="2"/>
        <item x="0"/>
        <item t="default"/>
      </items>
    </pivotField>
    <pivotField axis="axisRow" showAll="0">
      <items count="6">
        <item x="3"/>
        <item x="4"/>
        <item x="0"/>
        <item x="2"/>
        <item x="1"/>
        <item t="default"/>
      </items>
    </pivotField>
    <pivotField dataField="1" showAll="0"/>
  </pivotFields>
  <rowFields count="2">
    <field x="0"/>
    <field x="1"/>
  </rowFields>
  <rowItems count="10">
    <i>
      <x/>
    </i>
    <i r="1">
      <x/>
    </i>
    <i r="1">
      <x v="1"/>
    </i>
    <i>
      <x v="1"/>
    </i>
    <i r="1">
      <x v="1"/>
    </i>
    <i>
      <x v="2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value" fld="2" baseField="0" baseItem="0" numFmtId="43"/>
  </dataFields>
  <formats count="1">
    <format dxfId="26">
      <pivotArea outline="0" collapsedLevelsAreSubtotals="1" fieldPosition="0"/>
    </format>
  </formats>
  <chartFormats count="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3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10" firstHeaderRow="1" firstDataRow="1" firstDataCol="1"/>
  <pivotFields count="3">
    <pivotField axis="axisRow" showAll="0" sortType="descending">
      <items count="7">
        <item x="5"/>
        <item x="2"/>
        <item x="3"/>
        <item x="0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7">
    <i>
      <x v="3"/>
    </i>
    <i>
      <x v="5"/>
    </i>
    <i>
      <x v="1"/>
    </i>
    <i>
      <x v="2"/>
    </i>
    <i>
      <x v="4"/>
    </i>
    <i>
      <x/>
    </i>
    <i t="grand">
      <x/>
    </i>
  </rowItems>
  <colItems count="1">
    <i/>
  </colItems>
  <dataFields count="1">
    <dataField name="Sum of revenue" fld="2" baseField="0" baseItem="0" numFmtId="43"/>
  </dataFields>
  <formats count="1">
    <format dxfId="27">
      <pivotArea outline="0" collapsedLevelsAreSubtotals="1" fieldPosition="0"/>
    </format>
  </formats>
  <chartFormats count="2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9">
  <location ref="G3:H29" firstHeaderRow="1" firstDataRow="1" firstDataCol="1"/>
  <pivotFields count="2">
    <pivotField axis="axisRow" showAll="0" sortType="descending">
      <items count="26">
        <item x="1"/>
        <item x="2"/>
        <item x="24"/>
        <item x="23"/>
        <item x="8"/>
        <item x="13"/>
        <item x="21"/>
        <item x="3"/>
        <item x="11"/>
        <item x="9"/>
        <item x="5"/>
        <item x="15"/>
        <item x="22"/>
        <item x="19"/>
        <item x="6"/>
        <item x="20"/>
        <item x="14"/>
        <item x="0"/>
        <item x="7"/>
        <item x="4"/>
        <item x="18"/>
        <item x="10"/>
        <item x="12"/>
        <item x="17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26">
    <i>
      <x v="17"/>
    </i>
    <i>
      <x/>
    </i>
    <i>
      <x v="1"/>
    </i>
    <i>
      <x v="7"/>
    </i>
    <i>
      <x v="19"/>
    </i>
    <i>
      <x v="10"/>
    </i>
    <i>
      <x v="14"/>
    </i>
    <i>
      <x v="18"/>
    </i>
    <i>
      <x v="4"/>
    </i>
    <i>
      <x v="9"/>
    </i>
    <i>
      <x v="21"/>
    </i>
    <i>
      <x v="8"/>
    </i>
    <i>
      <x v="22"/>
    </i>
    <i>
      <x v="5"/>
    </i>
    <i>
      <x v="16"/>
    </i>
    <i>
      <x v="11"/>
    </i>
    <i>
      <x v="24"/>
    </i>
    <i>
      <x v="23"/>
    </i>
    <i>
      <x v="20"/>
    </i>
    <i>
      <x v="13"/>
    </i>
    <i>
      <x v="15"/>
    </i>
    <i>
      <x v="6"/>
    </i>
    <i>
      <x v="12"/>
    </i>
    <i>
      <x v="3"/>
    </i>
    <i>
      <x v="2"/>
    </i>
    <i t="grand">
      <x/>
    </i>
  </rowItems>
  <colItems count="1">
    <i/>
  </colItems>
  <dataFields count="1">
    <dataField name="Sum of savings_profit" fld="1" baseField="0" baseItem="0" numFmtId="44"/>
  </dataFields>
  <formats count="2">
    <format dxfId="29">
      <pivotArea outline="0" collapsedLevelsAreSubtotals="1" fieldPosition="0"/>
    </format>
    <format dxfId="28">
      <pivotArea outline="0" collapsedLevelsAreSubtotals="1" fieldPosition="0"/>
    </format>
  </formats>
  <chartFormats count="1">
    <chartFormat chart="1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9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D17:E23" firstHeaderRow="1" firstDataRow="1" firstDataCol="1"/>
  <pivotFields count="2">
    <pivotField axis="axisRow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6">
    <i>
      <x v="1"/>
    </i>
    <i>
      <x v="2"/>
    </i>
    <i>
      <x v="3"/>
    </i>
    <i>
      <x/>
    </i>
    <i>
      <x v="4"/>
    </i>
    <i t="grand">
      <x/>
    </i>
  </rowItems>
  <colItems count="1">
    <i/>
  </colItems>
  <dataFields count="1">
    <dataField name="Sum of region_profit" fld="1" baseField="0" baseItem="0" numFmtId="43"/>
  </dataFields>
  <formats count="1">
    <format dxfId="30">
      <pivotArea outline="0" collapsedLevelsAreSubtotals="1" fieldPosition="0"/>
    </format>
  </formats>
  <chartFormats count="6"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25:B30" firstHeaderRow="1" firstDataRow="1" firstDataCol="1"/>
  <pivotFields count="2"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Sum of segment_income" fld="1" baseField="0" baseItem="0"/>
  </dataFields>
  <formats count="1">
    <format dxfId="31">
      <pivotArea collapsedLevelsAreSubtotals="1" fieldPosition="0">
        <references count="1">
          <reference field="0" count="0"/>
        </references>
      </pivotArea>
    </format>
  </formats>
  <chartFormats count="5"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5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4">
  <location ref="J3:K33" firstHeaderRow="1" firstDataRow="1" firstDataCol="1"/>
  <pivotFields count="3">
    <pivotField showAll="0">
      <items count="30">
        <item x="22"/>
        <item x="21"/>
        <item x="10"/>
        <item x="3"/>
        <item x="13"/>
        <item x="24"/>
        <item x="20"/>
        <item x="12"/>
        <item x="14"/>
        <item x="11"/>
        <item x="25"/>
        <item x="0"/>
        <item x="2"/>
        <item x="4"/>
        <item x="26"/>
        <item x="6"/>
        <item x="8"/>
        <item x="17"/>
        <item x="9"/>
        <item x="28"/>
        <item x="19"/>
        <item x="18"/>
        <item x="1"/>
        <item x="7"/>
        <item x="5"/>
        <item x="27"/>
        <item x="23"/>
        <item x="16"/>
        <item x="15"/>
        <item t="default"/>
      </items>
    </pivotField>
    <pivotField axis="axisRow" showAll="0" sortType="descending">
      <items count="30">
        <item x="5"/>
        <item x="7"/>
        <item x="28"/>
        <item x="27"/>
        <item x="22"/>
        <item x="24"/>
        <item x="21"/>
        <item x="3"/>
        <item x="10"/>
        <item x="14"/>
        <item x="16"/>
        <item x="19"/>
        <item x="11"/>
        <item x="2"/>
        <item x="4"/>
        <item x="1"/>
        <item x="9"/>
        <item x="26"/>
        <item x="20"/>
        <item x="23"/>
        <item x="13"/>
        <item x="17"/>
        <item x="15"/>
        <item x="0"/>
        <item x="25"/>
        <item x="6"/>
        <item x="8"/>
        <item x="12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1"/>
  </rowFields>
  <rowItems count="30">
    <i>
      <x v="23"/>
    </i>
    <i>
      <x v="15"/>
    </i>
    <i>
      <x v="13"/>
    </i>
    <i>
      <x v="7"/>
    </i>
    <i>
      <x v="14"/>
    </i>
    <i>
      <x/>
    </i>
    <i>
      <x v="25"/>
    </i>
    <i>
      <x v="1"/>
    </i>
    <i>
      <x v="26"/>
    </i>
    <i>
      <x v="16"/>
    </i>
    <i>
      <x v="8"/>
    </i>
    <i>
      <x v="12"/>
    </i>
    <i>
      <x v="27"/>
    </i>
    <i>
      <x v="20"/>
    </i>
    <i>
      <x v="9"/>
    </i>
    <i>
      <x v="22"/>
    </i>
    <i>
      <x v="10"/>
    </i>
    <i>
      <x v="21"/>
    </i>
    <i>
      <x v="28"/>
    </i>
    <i>
      <x v="11"/>
    </i>
    <i>
      <x v="18"/>
    </i>
    <i>
      <x v="6"/>
    </i>
    <i>
      <x v="4"/>
    </i>
    <i>
      <x v="19"/>
    </i>
    <i>
      <x v="5"/>
    </i>
    <i>
      <x v="24"/>
    </i>
    <i>
      <x v="17"/>
    </i>
    <i>
      <x v="3"/>
    </i>
    <i>
      <x v="2"/>
    </i>
    <i t="grand">
      <x/>
    </i>
  </rowItems>
  <colItems count="1">
    <i/>
  </colItems>
  <dataFields count="1">
    <dataField name="Sum of income_to_cost_ratio" fld="2" baseField="0" baseItem="0"/>
  </dataFields>
  <chartFormats count="1"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G30" totalsRowShown="0" headerRowDxfId="23">
  <autoFilter ref="A1:G30"/>
  <sortState ref="A2:G30">
    <sortCondition descending="1" ref="G2"/>
  </sortState>
  <tableColumns count="7">
    <tableColumn id="1" name="branch_code"/>
    <tableColumn id="2" name="branch_name"/>
    <tableColumn id="3" name="branch_manager_name"/>
    <tableColumn id="4" name="reporting_period"/>
    <tableColumn id="5" name="total_income"/>
    <tableColumn id="6" name="operating_expense"/>
    <tableColumn id="7" name="net_profit_or_lo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8" name="Table8" displayName="Table8" ref="I3:K9" totalsRowShown="0" headerRowDxfId="22">
  <autoFilter ref="I3:K9"/>
  <tableColumns count="3">
    <tableColumn id="1" name="branch_name" dataDxfId="21"/>
    <tableColumn id="2" name="branch_manager" dataDxfId="20"/>
    <tableColumn id="3" name="reven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9" name="Table9" displayName="Table9" ref="I13:K19" totalsRowShown="0" headerRowDxfId="19">
  <autoFilter ref="I13:K19"/>
  <tableColumns count="3">
    <tableColumn id="1" name="branch_name" dataDxfId="18"/>
    <tableColumn id="2" name="branch_manager" dataDxfId="17"/>
    <tableColumn id="3" name="profi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3" name="Table3" displayName="Table3" ref="M6:O12" totalsRowShown="0" headerRowDxfId="16">
  <autoFilter ref="M6:O12"/>
  <tableColumns count="3">
    <tableColumn id="1" name="product" dataDxfId="15"/>
    <tableColumn id="2" name="branch" dataDxfId="14"/>
    <tableColumn id="3" name="value" dataDxfId="13">
      <calculatedColumnFormula>LARGE(D3:J31,1)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B5" totalsRowShown="0" headerRowDxfId="12" dataDxfId="11">
  <autoFilter ref="A1:B5"/>
  <tableColumns count="2">
    <tableColumn id="1" name="segment_name" dataDxfId="10"/>
    <tableColumn id="2" name="segment_income" dataDxfId="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B6" totalsRowShown="0" headerRowDxfId="8" dataDxfId="7">
  <autoFilter ref="A1:B6"/>
  <tableColumns count="2">
    <tableColumn id="1" name="branch_region" dataDxfId="6"/>
    <tableColumn id="2" name="region_profit" dataDxfId="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10" name="Table10" displayName="Table10" ref="B2:D31" totalsRowShown="0" headerRowDxfId="4" dataDxfId="3">
  <autoFilter ref="B2:D31"/>
  <tableColumns count="3">
    <tableColumn id="1" name="branch_code" dataDxfId="2"/>
    <tableColumn id="2" name="branch_name" dataDxfId="1"/>
    <tableColumn id="3" name="income_to_cost_rati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39"/>
  <sheetViews>
    <sheetView showGridLines="0" tabSelected="1" topLeftCell="A7" zoomScale="70" zoomScaleNormal="70" workbookViewId="0">
      <selection activeCell="AJ23" sqref="AJ23"/>
    </sheetView>
  </sheetViews>
  <sheetFormatPr defaultRowHeight="14.4"/>
  <cols>
    <col min="1" max="1" width="1.109375" style="11" customWidth="1"/>
    <col min="2" max="2" width="5" style="5" customWidth="1"/>
    <col min="3" max="3" width="6" style="5" customWidth="1"/>
    <col min="7" max="7" width="0.88671875" customWidth="1"/>
    <col min="11" max="11" width="1.109375" customWidth="1"/>
    <col min="13" max="13" width="9" customWidth="1"/>
    <col min="14" max="14" width="8.44140625" customWidth="1"/>
    <col min="15" max="15" width="0.88671875" customWidth="1"/>
    <col min="18" max="18" width="7.33203125" customWidth="1"/>
    <col min="19" max="19" width="1" customWidth="1"/>
    <col min="22" max="22" width="7.88671875" customWidth="1"/>
    <col min="23" max="23" width="1" customWidth="1"/>
    <col min="24" max="24" width="9.77734375" customWidth="1"/>
    <col min="25" max="25" width="9.88671875" customWidth="1"/>
    <col min="26" max="26" width="9.6640625" customWidth="1"/>
    <col min="27" max="27" width="7.88671875" customWidth="1"/>
    <col min="33" max="33" width="0.6640625" style="11" customWidth="1"/>
  </cols>
  <sheetData>
    <row r="1" spans="1:35" s="11" customFormat="1" ht="4.8" customHeight="1"/>
    <row r="2" spans="1:35" ht="14.4" customHeight="1">
      <c r="B2" s="47" t="s">
        <v>88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</row>
    <row r="3" spans="1:35" ht="14.4" customHeight="1"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</row>
    <row r="4" spans="1:35" ht="14.4" customHeight="1">
      <c r="B4" s="48" t="s">
        <v>120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</row>
    <row r="5" spans="1:35" ht="13.8" customHeight="1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</row>
    <row r="6" spans="1:35" s="11" customFormat="1" ht="3.6" customHeight="1" thickBot="1">
      <c r="M6" s="27"/>
    </row>
    <row r="7" spans="1:35" ht="14.4" customHeight="1">
      <c r="B7" s="44">
        <f>COUNTA(Income_to_Cost_Ratio!C24:C31)</f>
        <v>8</v>
      </c>
      <c r="C7" s="44"/>
      <c r="D7" s="44"/>
      <c r="E7" s="44"/>
      <c r="F7" s="49"/>
      <c r="G7" s="26"/>
      <c r="H7" s="62">
        <f>COUNTA(Region_Profitability!A2:A6)</f>
        <v>5</v>
      </c>
      <c r="I7" s="63"/>
      <c r="J7" s="64"/>
      <c r="K7" s="26"/>
      <c r="L7" s="43">
        <f>COUNTA(Branch_Profitability!B2:B30)</f>
        <v>29</v>
      </c>
      <c r="M7" s="44"/>
      <c r="N7" s="49"/>
      <c r="O7" s="28"/>
      <c r="P7" s="43">
        <f>COUNTA(Segment_Income!B2:B5)</f>
        <v>4</v>
      </c>
      <c r="Q7" s="65"/>
      <c r="R7" s="49"/>
      <c r="S7" s="13"/>
      <c r="T7" s="59">
        <f>COUNTA(Product_Profitability!D2:J2)</f>
        <v>7</v>
      </c>
      <c r="U7" s="60"/>
      <c r="V7" s="61"/>
      <c r="W7" s="34"/>
      <c r="X7" s="50">
        <v>-891325.26000000013</v>
      </c>
      <c r="Y7" s="51"/>
      <c r="Z7" s="51"/>
      <c r="AA7" s="52"/>
      <c r="AB7" s="43">
        <f>COUNTA(Pivot_Tables!G4:G28)</f>
        <v>25</v>
      </c>
      <c r="AC7" s="49"/>
      <c r="AD7" s="43"/>
      <c r="AE7" s="44"/>
      <c r="AF7" s="44"/>
      <c r="AG7" s="29"/>
    </row>
    <row r="8" spans="1:35" ht="14.4" customHeight="1">
      <c r="B8" s="44"/>
      <c r="C8" s="44"/>
      <c r="D8" s="44"/>
      <c r="E8" s="44"/>
      <c r="F8" s="49"/>
      <c r="G8" s="26"/>
      <c r="H8" s="62"/>
      <c r="I8" s="63"/>
      <c r="J8" s="64"/>
      <c r="K8" s="26"/>
      <c r="L8" s="43"/>
      <c r="M8" s="44"/>
      <c r="N8" s="49"/>
      <c r="O8" s="28"/>
      <c r="P8" s="43"/>
      <c r="Q8" s="65"/>
      <c r="R8" s="49"/>
      <c r="S8" s="13"/>
      <c r="T8" s="43"/>
      <c r="U8" s="44"/>
      <c r="V8" s="49"/>
      <c r="W8" s="34"/>
      <c r="X8" s="50"/>
      <c r="Y8" s="51"/>
      <c r="Z8" s="51"/>
      <c r="AA8" s="52"/>
      <c r="AB8" s="43"/>
      <c r="AC8" s="49"/>
      <c r="AD8" s="43"/>
      <c r="AE8" s="44"/>
      <c r="AF8" s="44"/>
      <c r="AG8" s="29"/>
    </row>
    <row r="9" spans="1:35" ht="15" customHeight="1" thickBot="1">
      <c r="A9" s="25"/>
      <c r="B9" s="54" t="s">
        <v>119</v>
      </c>
      <c r="C9" s="54"/>
      <c r="D9" s="54"/>
      <c r="E9" s="54"/>
      <c r="F9" s="55"/>
      <c r="G9" s="26"/>
      <c r="H9" s="53" t="s">
        <v>89</v>
      </c>
      <c r="I9" s="54"/>
      <c r="J9" s="55"/>
      <c r="K9" s="37"/>
      <c r="L9" s="45" t="s">
        <v>90</v>
      </c>
      <c r="M9" s="46"/>
      <c r="N9" s="66"/>
      <c r="O9" s="35"/>
      <c r="P9" s="53" t="s">
        <v>91</v>
      </c>
      <c r="Q9" s="54"/>
      <c r="R9" s="55"/>
      <c r="S9" s="24"/>
      <c r="T9" s="53" t="s">
        <v>92</v>
      </c>
      <c r="U9" s="54"/>
      <c r="V9" s="55"/>
      <c r="W9" s="35"/>
      <c r="X9" s="53" t="s">
        <v>114</v>
      </c>
      <c r="Y9" s="54"/>
      <c r="Z9" s="54"/>
      <c r="AA9" s="55"/>
      <c r="AB9" s="39" t="s">
        <v>115</v>
      </c>
      <c r="AC9" s="40"/>
      <c r="AD9" s="45"/>
      <c r="AE9" s="46"/>
      <c r="AF9" s="46"/>
      <c r="AG9" s="30"/>
    </row>
    <row r="10" spans="1:35" ht="15" thickBot="1"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36"/>
      <c r="X10" s="56" t="s">
        <v>113</v>
      </c>
      <c r="Y10" s="57"/>
      <c r="Z10" s="57"/>
      <c r="AA10" s="57"/>
      <c r="AB10" s="57"/>
      <c r="AC10" s="58"/>
      <c r="AD10" s="42"/>
      <c r="AE10" s="42"/>
      <c r="AF10" s="42"/>
    </row>
    <row r="11" spans="1:35"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24"/>
      <c r="AG11" s="30"/>
      <c r="AH11" s="32"/>
      <c r="AI11" s="32"/>
    </row>
    <row r="12" spans="1:35"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H12" s="12"/>
      <c r="AI12" s="12"/>
    </row>
    <row r="13" spans="1:35"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H13" s="12"/>
      <c r="AI13" s="12"/>
    </row>
    <row r="14" spans="1:35"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H14" s="12"/>
      <c r="AI14" s="12"/>
    </row>
    <row r="15" spans="1:35" ht="14.4" customHeight="1"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23"/>
      <c r="AF15" s="23"/>
      <c r="AG15" s="31"/>
      <c r="AH15" s="33"/>
      <c r="AI15" s="12"/>
    </row>
    <row r="16" spans="1:35" ht="14.4" customHeight="1"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23"/>
      <c r="AF16" s="23"/>
      <c r="AG16" s="31"/>
      <c r="AH16" s="33"/>
      <c r="AI16" s="12"/>
    </row>
    <row r="17" spans="4:32"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spans="4:32"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spans="4:32"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spans="4:32"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spans="4:32"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spans="4:32"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spans="4:32"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spans="4:32"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spans="4:32"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4:32"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4:32"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 spans="4:32"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 spans="4:32"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 spans="4:32"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 spans="4:32"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 spans="4:32"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 spans="4:32"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 spans="4:32"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 spans="4:32"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 spans="4:32"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 spans="4:32"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 spans="4:32"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 spans="4:32"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 spans="4:32"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 spans="4:32"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 spans="4:32"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 spans="4:32"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 spans="4:32"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 spans="4:32"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 spans="4:32"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 spans="4:32"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 spans="4:32"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 spans="2:32"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 spans="2:32"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 spans="2:32"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 spans="2:32"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 spans="2:32"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 spans="2:32"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 spans="2:32"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 spans="2:32"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 spans="2:32"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 spans="2:32"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 spans="2:32"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 spans="2:32"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 spans="2:32" s="11" customFormat="1" ht="7.2" customHeight="1"/>
    <row r="62" spans="2:32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</row>
    <row r="63" spans="2:32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</row>
    <row r="64" spans="2:32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</row>
    <row r="65" spans="2:30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</row>
    <row r="66" spans="2:30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</row>
    <row r="67" spans="2:30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</row>
    <row r="68" spans="2:30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</row>
    <row r="69" spans="2:30">
      <c r="B69" s="12"/>
      <c r="C69" s="12"/>
    </row>
    <row r="70" spans="2:30">
      <c r="B70" s="12"/>
      <c r="C70" s="12"/>
    </row>
    <row r="71" spans="2:30">
      <c r="B71" s="12"/>
      <c r="C71" s="12"/>
    </row>
    <row r="72" spans="2:30">
      <c r="B72" s="12"/>
      <c r="C72" s="12"/>
    </row>
    <row r="73" spans="2:30">
      <c r="B73" s="12"/>
      <c r="C73" s="12"/>
    </row>
    <row r="74" spans="2:30">
      <c r="B74" s="12"/>
      <c r="C74" s="12"/>
    </row>
    <row r="75" spans="2:30">
      <c r="B75" s="12"/>
      <c r="C75" s="12"/>
    </row>
    <row r="76" spans="2:30">
      <c r="B76" s="12"/>
      <c r="C76" s="12"/>
    </row>
    <row r="77" spans="2:30">
      <c r="B77" s="12"/>
      <c r="C77" s="12"/>
    </row>
    <row r="78" spans="2:30">
      <c r="B78" s="12"/>
      <c r="C78" s="12"/>
    </row>
    <row r="79" spans="2:30">
      <c r="B79" s="12"/>
      <c r="C79" s="12"/>
    </row>
    <row r="80" spans="2:30">
      <c r="B80" s="12"/>
      <c r="C80" s="12"/>
    </row>
    <row r="81" spans="2:3">
      <c r="B81" s="12"/>
      <c r="C81" s="12"/>
    </row>
    <row r="82" spans="2:3">
      <c r="B82" s="12"/>
      <c r="C82" s="12"/>
    </row>
    <row r="83" spans="2:3">
      <c r="B83" s="12"/>
      <c r="C83" s="12"/>
    </row>
    <row r="84" spans="2:3">
      <c r="B84" s="12"/>
      <c r="C84" s="12"/>
    </row>
    <row r="85" spans="2:3">
      <c r="B85" s="12"/>
      <c r="C85" s="12"/>
    </row>
    <row r="86" spans="2:3">
      <c r="B86" s="12"/>
      <c r="C86" s="12"/>
    </row>
    <row r="87" spans="2:3">
      <c r="B87" s="12"/>
      <c r="C87" s="12"/>
    </row>
    <row r="88" spans="2:3">
      <c r="B88" s="12"/>
      <c r="C88" s="12"/>
    </row>
    <row r="89" spans="2:3">
      <c r="B89" s="12"/>
      <c r="C89" s="12"/>
    </row>
    <row r="90" spans="2:3">
      <c r="B90" s="12"/>
      <c r="C90" s="12"/>
    </row>
    <row r="91" spans="2:3">
      <c r="B91" s="12"/>
      <c r="C91" s="12"/>
    </row>
    <row r="92" spans="2:3">
      <c r="B92" s="12"/>
      <c r="C92" s="12"/>
    </row>
    <row r="93" spans="2:3">
      <c r="B93" s="12"/>
      <c r="C93" s="12"/>
    </row>
    <row r="94" spans="2:3">
      <c r="B94" s="12"/>
      <c r="C94" s="12"/>
    </row>
    <row r="95" spans="2:3">
      <c r="B95" s="12"/>
      <c r="C95" s="12"/>
    </row>
    <row r="96" spans="2:3">
      <c r="B96" s="12"/>
      <c r="C96" s="12"/>
    </row>
    <row r="97" spans="2:3">
      <c r="B97" s="12"/>
      <c r="C97" s="12"/>
    </row>
    <row r="98" spans="2:3">
      <c r="B98" s="12"/>
      <c r="C98" s="12"/>
    </row>
    <row r="99" spans="2:3">
      <c r="B99" s="12"/>
      <c r="C99" s="12"/>
    </row>
    <row r="100" spans="2:3">
      <c r="B100" s="12"/>
      <c r="C100" s="12"/>
    </row>
    <row r="101" spans="2:3">
      <c r="B101" s="12"/>
      <c r="C101" s="12"/>
    </row>
    <row r="102" spans="2:3">
      <c r="B102" s="12"/>
      <c r="C102" s="12"/>
    </row>
    <row r="103" spans="2:3">
      <c r="B103" s="12"/>
      <c r="C103" s="12"/>
    </row>
    <row r="104" spans="2:3">
      <c r="B104" s="12"/>
      <c r="C104" s="12"/>
    </row>
    <row r="105" spans="2:3">
      <c r="B105" s="12"/>
      <c r="C105" s="12"/>
    </row>
    <row r="106" spans="2:3">
      <c r="B106" s="12"/>
      <c r="C106" s="12"/>
    </row>
    <row r="107" spans="2:3">
      <c r="B107" s="12"/>
      <c r="C107" s="12"/>
    </row>
    <row r="108" spans="2:3">
      <c r="B108" s="12"/>
      <c r="C108" s="12"/>
    </row>
    <row r="109" spans="2:3">
      <c r="B109" s="12"/>
      <c r="C109" s="12"/>
    </row>
    <row r="110" spans="2:3">
      <c r="B110" s="12"/>
      <c r="C110" s="12"/>
    </row>
    <row r="111" spans="2:3">
      <c r="B111" s="12"/>
      <c r="C111" s="12"/>
    </row>
    <row r="112" spans="2:3">
      <c r="B112" s="12"/>
      <c r="C112" s="12"/>
    </row>
    <row r="113" spans="2:3">
      <c r="B113" s="12"/>
      <c r="C113" s="12"/>
    </row>
    <row r="114" spans="2:3">
      <c r="B114" s="12"/>
      <c r="C114" s="12"/>
    </row>
    <row r="115" spans="2:3">
      <c r="B115" s="12"/>
      <c r="C115" s="12"/>
    </row>
    <row r="116" spans="2:3">
      <c r="B116" s="12"/>
      <c r="C116" s="12"/>
    </row>
    <row r="117" spans="2:3">
      <c r="B117" s="12"/>
      <c r="C117" s="12"/>
    </row>
    <row r="118" spans="2:3">
      <c r="B118" s="12"/>
      <c r="C118" s="12"/>
    </row>
    <row r="119" spans="2:3">
      <c r="B119" s="12"/>
      <c r="C119" s="12"/>
    </row>
    <row r="120" spans="2:3">
      <c r="B120" s="12"/>
      <c r="C120" s="12"/>
    </row>
    <row r="121" spans="2:3">
      <c r="B121" s="12"/>
      <c r="C121" s="12"/>
    </row>
    <row r="122" spans="2:3">
      <c r="B122" s="12"/>
      <c r="C122" s="12"/>
    </row>
    <row r="123" spans="2:3">
      <c r="B123" s="12"/>
      <c r="C123" s="12"/>
    </row>
    <row r="124" spans="2:3">
      <c r="B124" s="12"/>
      <c r="C124" s="12"/>
    </row>
    <row r="125" spans="2:3">
      <c r="B125" s="12"/>
      <c r="C125" s="12"/>
    </row>
    <row r="126" spans="2:3">
      <c r="B126" s="12"/>
      <c r="C126" s="12"/>
    </row>
    <row r="127" spans="2:3">
      <c r="B127" s="12"/>
      <c r="C127" s="12"/>
    </row>
    <row r="128" spans="2:3">
      <c r="B128" s="12"/>
      <c r="C128" s="12"/>
    </row>
    <row r="129" spans="2:3">
      <c r="B129" s="12"/>
      <c r="C129" s="12"/>
    </row>
    <row r="130" spans="2:3">
      <c r="B130" s="12"/>
      <c r="C130" s="12"/>
    </row>
    <row r="131" spans="2:3">
      <c r="B131" s="12"/>
      <c r="C131" s="12"/>
    </row>
    <row r="132" spans="2:3">
      <c r="B132" s="12"/>
      <c r="C132" s="12"/>
    </row>
    <row r="133" spans="2:3">
      <c r="B133" s="12"/>
      <c r="C133" s="12"/>
    </row>
    <row r="134" spans="2:3">
      <c r="B134" s="12"/>
      <c r="C134" s="12"/>
    </row>
    <row r="135" spans="2:3">
      <c r="B135" s="12"/>
      <c r="C135" s="12"/>
    </row>
    <row r="136" spans="2:3">
      <c r="B136" s="12"/>
      <c r="C136" s="12"/>
    </row>
    <row r="137" spans="2:3">
      <c r="B137" s="12"/>
      <c r="C137" s="12"/>
    </row>
    <row r="138" spans="2:3">
      <c r="B138" s="12"/>
      <c r="C138" s="12"/>
    </row>
    <row r="139" spans="2:3">
      <c r="B139" s="12"/>
      <c r="C139" s="12"/>
    </row>
    <row r="140" spans="2:3">
      <c r="B140" s="12"/>
      <c r="C140" s="12"/>
    </row>
    <row r="141" spans="2:3">
      <c r="B141" s="12"/>
      <c r="C141" s="12"/>
    </row>
    <row r="142" spans="2:3">
      <c r="B142" s="12"/>
      <c r="C142" s="12"/>
    </row>
    <row r="143" spans="2:3">
      <c r="B143" s="12"/>
      <c r="C143" s="12"/>
    </row>
    <row r="144" spans="2:3">
      <c r="B144" s="12"/>
      <c r="C144" s="12"/>
    </row>
    <row r="145" spans="2:3">
      <c r="B145" s="12"/>
      <c r="C145" s="12"/>
    </row>
    <row r="146" spans="2:3">
      <c r="B146" s="12"/>
      <c r="C146" s="12"/>
    </row>
    <row r="147" spans="2:3">
      <c r="B147" s="12"/>
      <c r="C147" s="12"/>
    </row>
    <row r="148" spans="2:3">
      <c r="B148" s="12"/>
      <c r="C148" s="12"/>
    </row>
    <row r="149" spans="2:3">
      <c r="B149" s="12"/>
      <c r="C149" s="12"/>
    </row>
    <row r="150" spans="2:3">
      <c r="B150" s="12"/>
      <c r="C150" s="12"/>
    </row>
    <row r="151" spans="2:3">
      <c r="B151" s="12"/>
      <c r="C151" s="12"/>
    </row>
    <row r="152" spans="2:3">
      <c r="B152" s="12"/>
      <c r="C152" s="12"/>
    </row>
    <row r="153" spans="2:3">
      <c r="B153" s="12"/>
      <c r="C153" s="12"/>
    </row>
    <row r="154" spans="2:3">
      <c r="B154" s="12"/>
      <c r="C154" s="12"/>
    </row>
    <row r="155" spans="2:3">
      <c r="B155" s="12"/>
      <c r="C155" s="12"/>
    </row>
    <row r="156" spans="2:3">
      <c r="B156" s="12"/>
      <c r="C156" s="12"/>
    </row>
    <row r="157" spans="2:3">
      <c r="B157" s="12"/>
      <c r="C157" s="12"/>
    </row>
    <row r="158" spans="2:3">
      <c r="B158" s="12"/>
      <c r="C158" s="12"/>
    </row>
    <row r="159" spans="2:3">
      <c r="B159" s="12"/>
      <c r="C159" s="12"/>
    </row>
    <row r="160" spans="2:3">
      <c r="B160" s="12"/>
      <c r="C160" s="12"/>
    </row>
    <row r="161" spans="2:3">
      <c r="B161" s="12"/>
      <c r="C161" s="12"/>
    </row>
    <row r="162" spans="2:3">
      <c r="B162" s="12"/>
      <c r="C162" s="12"/>
    </row>
    <row r="163" spans="2:3">
      <c r="B163" s="12"/>
      <c r="C163" s="12"/>
    </row>
    <row r="164" spans="2:3">
      <c r="B164" s="12"/>
      <c r="C164" s="12"/>
    </row>
    <row r="165" spans="2:3">
      <c r="B165" s="12"/>
      <c r="C165" s="12"/>
    </row>
    <row r="166" spans="2:3">
      <c r="B166" s="12"/>
      <c r="C166" s="12"/>
    </row>
    <row r="167" spans="2:3">
      <c r="B167" s="12"/>
      <c r="C167" s="12"/>
    </row>
    <row r="168" spans="2:3">
      <c r="B168" s="12"/>
      <c r="C168" s="12"/>
    </row>
    <row r="169" spans="2:3">
      <c r="B169" s="12"/>
      <c r="C169" s="12"/>
    </row>
    <row r="170" spans="2:3">
      <c r="B170" s="12"/>
      <c r="C170" s="12"/>
    </row>
    <row r="171" spans="2:3">
      <c r="B171" s="12"/>
      <c r="C171" s="12"/>
    </row>
    <row r="172" spans="2:3">
      <c r="B172" s="12"/>
      <c r="C172" s="12"/>
    </row>
    <row r="173" spans="2:3">
      <c r="B173" s="12"/>
      <c r="C173" s="12"/>
    </row>
    <row r="174" spans="2:3">
      <c r="B174" s="12"/>
      <c r="C174" s="12"/>
    </row>
    <row r="175" spans="2:3">
      <c r="B175" s="12"/>
      <c r="C175" s="12"/>
    </row>
    <row r="176" spans="2:3">
      <c r="B176" s="12"/>
      <c r="C176" s="12"/>
    </row>
    <row r="177" spans="2:3">
      <c r="B177" s="12"/>
      <c r="C177" s="12"/>
    </row>
    <row r="178" spans="2:3">
      <c r="B178" s="12"/>
      <c r="C178" s="12"/>
    </row>
    <row r="179" spans="2:3">
      <c r="B179" s="12"/>
      <c r="C179" s="12"/>
    </row>
    <row r="180" spans="2:3">
      <c r="B180" s="12"/>
      <c r="C180" s="12"/>
    </row>
    <row r="181" spans="2:3">
      <c r="B181" s="12"/>
      <c r="C181" s="12"/>
    </row>
    <row r="182" spans="2:3">
      <c r="B182" s="12"/>
      <c r="C182" s="12"/>
    </row>
    <row r="183" spans="2:3">
      <c r="B183" s="12"/>
      <c r="C183" s="12"/>
    </row>
    <row r="184" spans="2:3">
      <c r="B184" s="12"/>
      <c r="C184" s="12"/>
    </row>
    <row r="185" spans="2:3">
      <c r="B185" s="12"/>
      <c r="C185" s="12"/>
    </row>
    <row r="186" spans="2:3">
      <c r="B186" s="12"/>
      <c r="C186" s="12"/>
    </row>
    <row r="187" spans="2:3">
      <c r="B187" s="12"/>
      <c r="C187" s="12"/>
    </row>
    <row r="188" spans="2:3">
      <c r="B188" s="12"/>
      <c r="C188" s="12"/>
    </row>
    <row r="189" spans="2:3">
      <c r="B189" s="12"/>
      <c r="C189" s="12"/>
    </row>
    <row r="190" spans="2:3">
      <c r="B190" s="12"/>
      <c r="C190" s="12"/>
    </row>
    <row r="191" spans="2:3">
      <c r="B191" s="12"/>
      <c r="C191" s="12"/>
    </row>
    <row r="192" spans="2:3">
      <c r="B192" s="12"/>
      <c r="C192" s="12"/>
    </row>
    <row r="193" spans="2:3">
      <c r="B193" s="12"/>
      <c r="C193" s="12"/>
    </row>
    <row r="194" spans="2:3">
      <c r="B194" s="12"/>
      <c r="C194" s="12"/>
    </row>
    <row r="195" spans="2:3">
      <c r="B195" s="12"/>
      <c r="C195" s="12"/>
    </row>
    <row r="196" spans="2:3">
      <c r="B196" s="12"/>
      <c r="C196" s="12"/>
    </row>
    <row r="197" spans="2:3">
      <c r="B197" s="12"/>
      <c r="C197" s="12"/>
    </row>
    <row r="198" spans="2:3">
      <c r="B198" s="12"/>
      <c r="C198" s="12"/>
    </row>
    <row r="199" spans="2:3">
      <c r="B199" s="12"/>
      <c r="C199" s="12"/>
    </row>
    <row r="200" spans="2:3">
      <c r="B200" s="12"/>
      <c r="C200" s="12"/>
    </row>
    <row r="201" spans="2:3">
      <c r="B201" s="12"/>
      <c r="C201" s="12"/>
    </row>
    <row r="202" spans="2:3">
      <c r="B202" s="12"/>
      <c r="C202" s="12"/>
    </row>
    <row r="203" spans="2:3">
      <c r="B203" s="12"/>
      <c r="C203" s="12"/>
    </row>
    <row r="204" spans="2:3">
      <c r="B204" s="12"/>
      <c r="C204" s="12"/>
    </row>
    <row r="205" spans="2:3">
      <c r="B205" s="12"/>
      <c r="C205" s="12"/>
    </row>
    <row r="206" spans="2:3">
      <c r="B206" s="12"/>
      <c r="C206" s="12"/>
    </row>
    <row r="207" spans="2:3">
      <c r="B207" s="12"/>
      <c r="C207" s="12"/>
    </row>
    <row r="208" spans="2:3">
      <c r="B208" s="12"/>
      <c r="C208" s="12"/>
    </row>
    <row r="209" spans="2:3">
      <c r="B209" s="12"/>
      <c r="C209" s="12"/>
    </row>
    <row r="210" spans="2:3">
      <c r="B210" s="12"/>
      <c r="C210" s="12"/>
    </row>
    <row r="211" spans="2:3">
      <c r="B211" s="12"/>
      <c r="C211" s="12"/>
    </row>
    <row r="212" spans="2:3">
      <c r="B212" s="12"/>
      <c r="C212" s="12"/>
    </row>
    <row r="213" spans="2:3">
      <c r="B213" s="12"/>
      <c r="C213" s="12"/>
    </row>
    <row r="214" spans="2:3">
      <c r="B214" s="12"/>
      <c r="C214" s="12"/>
    </row>
    <row r="215" spans="2:3">
      <c r="B215" s="12"/>
      <c r="C215" s="12"/>
    </row>
    <row r="216" spans="2:3">
      <c r="B216" s="12"/>
      <c r="C216" s="12"/>
    </row>
    <row r="217" spans="2:3">
      <c r="B217" s="12"/>
      <c r="C217" s="12"/>
    </row>
    <row r="218" spans="2:3">
      <c r="B218" s="12"/>
      <c r="C218" s="12"/>
    </row>
    <row r="219" spans="2:3">
      <c r="B219" s="12"/>
      <c r="C219" s="12"/>
    </row>
    <row r="220" spans="2:3">
      <c r="B220" s="12"/>
      <c r="C220" s="12"/>
    </row>
    <row r="221" spans="2:3">
      <c r="B221" s="12"/>
      <c r="C221" s="12"/>
    </row>
    <row r="222" spans="2:3">
      <c r="B222" s="12"/>
      <c r="C222" s="12"/>
    </row>
    <row r="223" spans="2:3">
      <c r="B223" s="12"/>
      <c r="C223" s="12"/>
    </row>
    <row r="224" spans="2:3">
      <c r="B224" s="12"/>
      <c r="C224" s="12"/>
    </row>
    <row r="225" spans="2:3">
      <c r="B225" s="12"/>
      <c r="C225" s="12"/>
    </row>
    <row r="226" spans="2:3">
      <c r="B226" s="12"/>
      <c r="C226" s="12"/>
    </row>
    <row r="227" spans="2:3">
      <c r="B227" s="12"/>
      <c r="C227" s="12"/>
    </row>
    <row r="228" spans="2:3">
      <c r="B228" s="12"/>
      <c r="C228" s="12"/>
    </row>
    <row r="229" spans="2:3">
      <c r="B229" s="12"/>
      <c r="C229" s="12"/>
    </row>
    <row r="230" spans="2:3">
      <c r="B230" s="12"/>
      <c r="C230" s="12"/>
    </row>
    <row r="231" spans="2:3">
      <c r="B231" s="12"/>
      <c r="C231" s="12"/>
    </row>
    <row r="232" spans="2:3">
      <c r="B232" s="12"/>
      <c r="C232" s="12"/>
    </row>
    <row r="233" spans="2:3">
      <c r="B233" s="12"/>
      <c r="C233" s="12"/>
    </row>
    <row r="234" spans="2:3">
      <c r="B234" s="12"/>
      <c r="C234" s="12"/>
    </row>
    <row r="235" spans="2:3">
      <c r="B235" s="12"/>
      <c r="C235" s="12"/>
    </row>
    <row r="236" spans="2:3">
      <c r="B236" s="12"/>
      <c r="C236" s="12"/>
    </row>
    <row r="237" spans="2:3">
      <c r="B237" s="12"/>
      <c r="C237" s="12"/>
    </row>
    <row r="238" spans="2:3">
      <c r="B238" s="12"/>
      <c r="C238" s="12"/>
    </row>
    <row r="239" spans="2:3">
      <c r="B239" s="12"/>
      <c r="C239" s="12"/>
    </row>
  </sheetData>
  <mergeCells count="19">
    <mergeCell ref="B7:F8"/>
    <mergeCell ref="B9:F9"/>
    <mergeCell ref="B2:AF3"/>
    <mergeCell ref="B4:AF5"/>
    <mergeCell ref="L9:N9"/>
    <mergeCell ref="AD10:AF10"/>
    <mergeCell ref="AD7:AF8"/>
    <mergeCell ref="AD9:AF9"/>
    <mergeCell ref="AB7:AC8"/>
    <mergeCell ref="X7:AA8"/>
    <mergeCell ref="X9:AA9"/>
    <mergeCell ref="X10:AC10"/>
    <mergeCell ref="T7:V8"/>
    <mergeCell ref="T9:V9"/>
    <mergeCell ref="H7:J8"/>
    <mergeCell ref="H9:J9"/>
    <mergeCell ref="L7:N8"/>
    <mergeCell ref="P7:R8"/>
    <mergeCell ref="P9:R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3"/>
  <sheetViews>
    <sheetView workbookViewId="0">
      <selection activeCell="K13" sqref="K13"/>
    </sheetView>
  </sheetViews>
  <sheetFormatPr defaultRowHeight="14.4"/>
  <cols>
    <col min="1" max="1" width="20.5546875" customWidth="1"/>
    <col min="2" max="2" width="14.44140625" customWidth="1"/>
    <col min="3" max="3" width="10.6640625" bestFit="1" customWidth="1"/>
    <col min="4" max="4" width="12.5546875" customWidth="1"/>
    <col min="5" max="5" width="18.6640625" customWidth="1"/>
    <col min="6" max="6" width="10.6640625" bestFit="1" customWidth="1"/>
    <col min="7" max="7" width="21" bestFit="1" customWidth="1"/>
    <col min="8" max="8" width="19.44140625" customWidth="1"/>
    <col min="9" max="9" width="9" bestFit="1" customWidth="1"/>
    <col min="10" max="10" width="21" bestFit="1" customWidth="1"/>
    <col min="11" max="11" width="26.21875" bestFit="1" customWidth="1"/>
    <col min="12" max="18" width="10" bestFit="1" customWidth="1"/>
    <col min="19" max="29" width="11" bestFit="1" customWidth="1"/>
    <col min="30" max="30" width="10.77734375" bestFit="1" customWidth="1"/>
  </cols>
  <sheetData>
    <row r="2" spans="1:11">
      <c r="A2" s="67" t="s">
        <v>109</v>
      </c>
      <c r="B2" s="67"/>
      <c r="C2" s="1"/>
      <c r="D2" s="67" t="s">
        <v>112</v>
      </c>
      <c r="E2" s="67"/>
      <c r="G2" s="67" t="s">
        <v>104</v>
      </c>
      <c r="H2" s="67"/>
      <c r="J2" s="67" t="s">
        <v>118</v>
      </c>
      <c r="K2" s="67"/>
    </row>
    <row r="3" spans="1:11">
      <c r="A3" s="8" t="s">
        <v>86</v>
      </c>
      <c r="B3" t="s">
        <v>108</v>
      </c>
      <c r="D3" s="8" t="s">
        <v>86</v>
      </c>
      <c r="E3" t="s">
        <v>98</v>
      </c>
      <c r="G3" s="8" t="s">
        <v>86</v>
      </c>
      <c r="H3" t="s">
        <v>103</v>
      </c>
      <c r="J3" s="8" t="s">
        <v>86</v>
      </c>
      <c r="K3" t="s">
        <v>117</v>
      </c>
    </row>
    <row r="4" spans="1:11">
      <c r="A4" s="9" t="s">
        <v>7</v>
      </c>
      <c r="B4" s="38">
        <v>5372857.3300000001</v>
      </c>
      <c r="D4" s="9" t="s">
        <v>62</v>
      </c>
      <c r="E4" s="38">
        <v>-856479.78999999992</v>
      </c>
      <c r="G4" s="9" t="s">
        <v>48</v>
      </c>
      <c r="H4" s="41">
        <v>-7191.36</v>
      </c>
      <c r="J4" s="9" t="s">
        <v>7</v>
      </c>
      <c r="K4" s="10">
        <v>7.08</v>
      </c>
    </row>
    <row r="5" spans="1:11">
      <c r="A5" s="9" t="s">
        <v>16</v>
      </c>
      <c r="B5" s="38">
        <v>3991337.8</v>
      </c>
      <c r="D5" s="18" t="s">
        <v>94</v>
      </c>
      <c r="E5" s="38">
        <v>-243590.34</v>
      </c>
      <c r="G5" s="9" t="s">
        <v>22</v>
      </c>
      <c r="H5" s="41">
        <v>-10454.61</v>
      </c>
      <c r="J5" s="9" t="s">
        <v>10</v>
      </c>
      <c r="K5" s="10">
        <v>4.3099999999999996</v>
      </c>
    </row>
    <row r="6" spans="1:11">
      <c r="A6" s="9" t="s">
        <v>10</v>
      </c>
      <c r="B6" s="38">
        <v>3778639.08</v>
      </c>
      <c r="D6" s="18" t="s">
        <v>93</v>
      </c>
      <c r="E6" s="38">
        <v>-612889.44999999995</v>
      </c>
      <c r="G6" s="9" t="s">
        <v>20</v>
      </c>
      <c r="H6" s="41">
        <v>-12065.32</v>
      </c>
      <c r="J6" s="9" t="s">
        <v>12</v>
      </c>
      <c r="K6" s="10">
        <v>3.69</v>
      </c>
    </row>
    <row r="7" spans="1:11">
      <c r="A7" s="9" t="s">
        <v>60</v>
      </c>
      <c r="B7" s="38">
        <v>1169121.47</v>
      </c>
      <c r="D7" s="9" t="s">
        <v>64</v>
      </c>
      <c r="E7" s="38">
        <v>-326353.90999999997</v>
      </c>
      <c r="G7" s="9" t="s">
        <v>18</v>
      </c>
      <c r="H7" s="41">
        <v>-13020.05</v>
      </c>
      <c r="J7" s="9" t="s">
        <v>18</v>
      </c>
      <c r="K7" s="10">
        <v>3.02</v>
      </c>
    </row>
    <row r="8" spans="1:11">
      <c r="A8" s="9" t="s">
        <v>56</v>
      </c>
      <c r="B8" s="38">
        <v>1127087.08</v>
      </c>
      <c r="D8" s="18" t="s">
        <v>93</v>
      </c>
      <c r="E8" s="38">
        <v>-326353.90999999997</v>
      </c>
      <c r="G8" s="9" t="s">
        <v>36</v>
      </c>
      <c r="H8" s="41">
        <v>-14112.87</v>
      </c>
      <c r="J8" s="9" t="s">
        <v>26</v>
      </c>
      <c r="K8" s="10">
        <v>2.65</v>
      </c>
    </row>
    <row r="9" spans="1:11">
      <c r="A9" s="9" t="s">
        <v>62</v>
      </c>
      <c r="B9" s="38">
        <v>500247.08</v>
      </c>
      <c r="D9" s="9" t="s">
        <v>93</v>
      </c>
      <c r="E9" s="38">
        <v>3252840.52</v>
      </c>
      <c r="G9" s="9" t="s">
        <v>40</v>
      </c>
      <c r="H9" s="41">
        <v>-18451.560000000001</v>
      </c>
      <c r="J9" s="9" t="s">
        <v>22</v>
      </c>
      <c r="K9" s="10">
        <v>2.56</v>
      </c>
    </row>
    <row r="10" spans="1:11">
      <c r="A10" s="9" t="s">
        <v>87</v>
      </c>
      <c r="B10" s="38">
        <v>15939289.84</v>
      </c>
      <c r="D10" s="18" t="s">
        <v>7</v>
      </c>
      <c r="E10" s="38">
        <v>1434496.31</v>
      </c>
      <c r="G10" s="9" t="s">
        <v>26</v>
      </c>
      <c r="H10" s="41">
        <v>-18508.29</v>
      </c>
      <c r="J10" s="9" t="s">
        <v>14</v>
      </c>
      <c r="K10" s="10">
        <v>2.54</v>
      </c>
    </row>
    <row r="11" spans="1:11">
      <c r="D11" s="18" t="s">
        <v>14</v>
      </c>
      <c r="E11" s="38">
        <v>708881.13</v>
      </c>
      <c r="G11" s="9" t="s">
        <v>54</v>
      </c>
      <c r="H11" s="41">
        <v>-19385</v>
      </c>
      <c r="J11" s="9" t="s">
        <v>20</v>
      </c>
      <c r="K11" s="10">
        <v>2.27</v>
      </c>
    </row>
    <row r="12" spans="1:11">
      <c r="D12" s="18" t="s">
        <v>16</v>
      </c>
      <c r="E12" s="38">
        <v>1109463.08</v>
      </c>
      <c r="G12" s="9" t="s">
        <v>52</v>
      </c>
      <c r="H12" s="41">
        <v>-21213.06</v>
      </c>
      <c r="J12" s="9" t="s">
        <v>16</v>
      </c>
      <c r="K12" s="10">
        <v>2.13</v>
      </c>
    </row>
    <row r="13" spans="1:11">
      <c r="A13" s="67" t="s">
        <v>111</v>
      </c>
      <c r="B13" s="67"/>
      <c r="D13" s="9" t="s">
        <v>87</v>
      </c>
      <c r="E13" s="38">
        <v>2070006.8200000003</v>
      </c>
      <c r="G13" s="9" t="s">
        <v>42</v>
      </c>
      <c r="H13" s="41">
        <v>-23047.64</v>
      </c>
      <c r="J13" s="9" t="s">
        <v>24</v>
      </c>
      <c r="K13" s="10">
        <v>2.0299999999999998</v>
      </c>
    </row>
    <row r="14" spans="1:11">
      <c r="A14" s="8" t="s">
        <v>86</v>
      </c>
      <c r="B14" t="s">
        <v>110</v>
      </c>
      <c r="G14" s="9" t="s">
        <v>34</v>
      </c>
      <c r="H14" s="41">
        <v>-23458.05</v>
      </c>
      <c r="J14" s="9" t="s">
        <v>28</v>
      </c>
      <c r="K14" s="10">
        <v>1.7</v>
      </c>
    </row>
    <row r="15" spans="1:11">
      <c r="A15" s="9" t="s">
        <v>7</v>
      </c>
      <c r="B15" s="38">
        <v>4614393.34</v>
      </c>
      <c r="G15" s="9" t="s">
        <v>28</v>
      </c>
      <c r="H15" s="41">
        <v>-24316.51</v>
      </c>
      <c r="J15" s="9" t="s">
        <v>30</v>
      </c>
      <c r="K15" s="10">
        <v>1.53</v>
      </c>
    </row>
    <row r="16" spans="1:11">
      <c r="A16" s="9" t="s">
        <v>10</v>
      </c>
      <c r="B16" s="38">
        <v>2901585.29</v>
      </c>
      <c r="D16" s="67" t="s">
        <v>102</v>
      </c>
      <c r="E16" s="67"/>
      <c r="G16" s="9" t="s">
        <v>56</v>
      </c>
      <c r="H16" s="41">
        <v>-24346.67</v>
      </c>
      <c r="J16" s="9" t="s">
        <v>32</v>
      </c>
      <c r="K16" s="10">
        <v>1.4</v>
      </c>
    </row>
    <row r="17" spans="1:11">
      <c r="A17" s="9" t="s">
        <v>12</v>
      </c>
      <c r="B17" s="38">
        <v>2553392.87</v>
      </c>
      <c r="D17" s="8" t="s">
        <v>86</v>
      </c>
      <c r="E17" t="s">
        <v>101</v>
      </c>
      <c r="G17" s="9" t="s">
        <v>58</v>
      </c>
      <c r="H17" s="41">
        <v>-27606.54</v>
      </c>
      <c r="J17" s="9" t="s">
        <v>36</v>
      </c>
      <c r="K17" s="10">
        <v>1.28</v>
      </c>
    </row>
    <row r="18" spans="1:11">
      <c r="A18" s="9" t="s">
        <v>60</v>
      </c>
      <c r="B18" s="38">
        <v>-994622.48</v>
      </c>
      <c r="D18" s="9" t="s">
        <v>82</v>
      </c>
      <c r="E18" s="38">
        <v>7172463.6900000004</v>
      </c>
      <c r="G18" s="9" t="s">
        <v>60</v>
      </c>
      <c r="H18" s="41">
        <v>-27880.639999999999</v>
      </c>
      <c r="J18" s="9" t="s">
        <v>42</v>
      </c>
      <c r="K18" s="10">
        <v>1.26</v>
      </c>
    </row>
    <row r="19" spans="1:11">
      <c r="A19" s="9" t="s">
        <v>62</v>
      </c>
      <c r="B19" s="38">
        <v>-1143633.6399999999</v>
      </c>
      <c r="D19" s="9" t="s">
        <v>83</v>
      </c>
      <c r="E19" s="38">
        <v>7140142.8300000001</v>
      </c>
      <c r="G19" s="9" t="s">
        <v>44</v>
      </c>
      <c r="H19" s="41">
        <v>-30158.81</v>
      </c>
      <c r="J19" s="9" t="s">
        <v>34</v>
      </c>
      <c r="K19" s="10">
        <v>1.26</v>
      </c>
    </row>
    <row r="20" spans="1:11">
      <c r="A20" s="9" t="s">
        <v>64</v>
      </c>
      <c r="B20" s="38">
        <v>-1356792.63</v>
      </c>
      <c r="D20" s="9" t="s">
        <v>84</v>
      </c>
      <c r="E20" s="38">
        <v>5563110.96</v>
      </c>
      <c r="G20" s="9" t="s">
        <v>46</v>
      </c>
      <c r="H20" s="41">
        <v>-33102.839999999997</v>
      </c>
      <c r="J20" s="9" t="s">
        <v>40</v>
      </c>
      <c r="K20" s="10">
        <v>1.24</v>
      </c>
    </row>
    <row r="21" spans="1:11">
      <c r="A21" s="9" t="s">
        <v>87</v>
      </c>
      <c r="B21" s="38">
        <v>6574322.75</v>
      </c>
      <c r="D21" s="9" t="s">
        <v>81</v>
      </c>
      <c r="E21" s="38">
        <v>2425064.2799999998</v>
      </c>
      <c r="G21" s="9" t="s">
        <v>32</v>
      </c>
      <c r="H21" s="41">
        <v>-35397.71</v>
      </c>
      <c r="J21" s="9" t="s">
        <v>38</v>
      </c>
      <c r="K21" s="10">
        <v>1.2</v>
      </c>
    </row>
    <row r="22" spans="1:11">
      <c r="D22" s="9" t="s">
        <v>85</v>
      </c>
      <c r="E22" s="38">
        <v>1219318.24</v>
      </c>
      <c r="G22" s="9" t="s">
        <v>38</v>
      </c>
      <c r="H22" s="41">
        <v>-37443.449999999997</v>
      </c>
      <c r="J22" s="9" t="s">
        <v>46</v>
      </c>
      <c r="K22" s="10">
        <v>1.0900000000000001</v>
      </c>
    </row>
    <row r="23" spans="1:11">
      <c r="D23" s="9" t="s">
        <v>87</v>
      </c>
      <c r="E23" s="38">
        <v>23520100</v>
      </c>
      <c r="G23" s="9" t="s">
        <v>12</v>
      </c>
      <c r="H23" s="41">
        <v>-56929.91</v>
      </c>
      <c r="J23" s="9" t="s">
        <v>44</v>
      </c>
      <c r="K23" s="10">
        <v>1.07</v>
      </c>
    </row>
    <row r="24" spans="1:11">
      <c r="A24" s="67" t="s">
        <v>100</v>
      </c>
      <c r="B24" s="67"/>
      <c r="G24" s="9" t="s">
        <v>24</v>
      </c>
      <c r="H24" s="41">
        <v>-68941.67</v>
      </c>
      <c r="J24" s="9" t="s">
        <v>48</v>
      </c>
      <c r="K24" s="10">
        <v>1.04</v>
      </c>
    </row>
    <row r="25" spans="1:11">
      <c r="A25" s="8" t="s">
        <v>86</v>
      </c>
      <c r="B25" t="s">
        <v>99</v>
      </c>
      <c r="G25" s="9" t="s">
        <v>50</v>
      </c>
      <c r="H25" s="41">
        <v>-77803.92</v>
      </c>
      <c r="J25" s="9" t="s">
        <v>50</v>
      </c>
      <c r="K25" s="10">
        <v>0.99</v>
      </c>
    </row>
    <row r="26" spans="1:11">
      <c r="A26" s="9" t="s">
        <v>75</v>
      </c>
      <c r="B26" s="38">
        <v>32998423.350000001</v>
      </c>
      <c r="G26" s="9" t="s">
        <v>30</v>
      </c>
      <c r="H26" s="41">
        <v>-84676.19</v>
      </c>
      <c r="J26" s="9" t="s">
        <v>52</v>
      </c>
      <c r="K26" s="10">
        <v>0.88</v>
      </c>
    </row>
    <row r="27" spans="1:11">
      <c r="A27" s="9" t="s">
        <v>74</v>
      </c>
      <c r="B27" s="38">
        <v>19952535.039999999</v>
      </c>
      <c r="G27" s="9" t="s">
        <v>64</v>
      </c>
      <c r="H27" s="41">
        <v>-88943.38</v>
      </c>
      <c r="J27" s="9" t="s">
        <v>54</v>
      </c>
      <c r="K27" s="10">
        <v>0.85</v>
      </c>
    </row>
    <row r="28" spans="1:11">
      <c r="A28" s="9" t="s">
        <v>76</v>
      </c>
      <c r="B28" s="38">
        <v>14580698.689999999</v>
      </c>
      <c r="G28" s="9" t="s">
        <v>62</v>
      </c>
      <c r="H28" s="41">
        <v>-92869.21</v>
      </c>
      <c r="J28" s="9" t="s">
        <v>58</v>
      </c>
      <c r="K28" s="10">
        <v>0.75</v>
      </c>
    </row>
    <row r="29" spans="1:11">
      <c r="A29" s="9" t="s">
        <v>77</v>
      </c>
      <c r="B29" s="38">
        <v>9208862.3300000001</v>
      </c>
      <c r="G29" s="9" t="s">
        <v>87</v>
      </c>
      <c r="H29" s="41">
        <v>-891325.26000000013</v>
      </c>
      <c r="J29" s="9" t="s">
        <v>56</v>
      </c>
      <c r="K29" s="10">
        <v>0.67</v>
      </c>
    </row>
    <row r="30" spans="1:11">
      <c r="A30" s="9" t="s">
        <v>87</v>
      </c>
      <c r="B30" s="10">
        <v>76740519.409999996</v>
      </c>
      <c r="J30" s="9" t="s">
        <v>60</v>
      </c>
      <c r="K30" s="10">
        <v>0.54</v>
      </c>
    </row>
    <row r="31" spans="1:11">
      <c r="J31" s="9" t="s">
        <v>64</v>
      </c>
      <c r="K31" s="10">
        <v>0.52</v>
      </c>
    </row>
    <row r="32" spans="1:11">
      <c r="J32" s="9" t="s">
        <v>62</v>
      </c>
      <c r="K32" s="10">
        <v>0.3</v>
      </c>
    </row>
    <row r="33" spans="10:11">
      <c r="J33" s="9" t="s">
        <v>87</v>
      </c>
      <c r="K33" s="10">
        <v>51.850000000000009</v>
      </c>
    </row>
  </sheetData>
  <mergeCells count="7">
    <mergeCell ref="J2:K2"/>
    <mergeCell ref="D2:E2"/>
    <mergeCell ref="A24:B24"/>
    <mergeCell ref="D16:E16"/>
    <mergeCell ref="G2:H2"/>
    <mergeCell ref="A2:B2"/>
    <mergeCell ref="A13:B13"/>
  </mergeCells>
  <pageMargins left="0.7" right="0.7" top="0.75" bottom="0.75" header="0.3" footer="0.3"/>
  <pageSetup paperSize="9" orientation="portrait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workbookViewId="0">
      <selection activeCell="I33" sqref="I33"/>
    </sheetView>
  </sheetViews>
  <sheetFormatPr defaultRowHeight="14.4"/>
  <cols>
    <col min="1" max="1" width="13.88671875" customWidth="1"/>
    <col min="2" max="2" width="21" bestFit="1" customWidth="1"/>
    <col min="3" max="3" width="23" customWidth="1"/>
    <col min="4" max="4" width="17.109375" customWidth="1"/>
    <col min="5" max="5" width="14" customWidth="1"/>
    <col min="6" max="6" width="18.88671875" customWidth="1"/>
    <col min="7" max="7" width="18.21875" customWidth="1"/>
    <col min="9" max="9" width="25.44140625" customWidth="1"/>
    <col min="10" max="10" width="19.88671875" bestFit="1" customWidth="1"/>
    <col min="11" max="11" width="12.332031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>
      <c r="A2">
        <v>12</v>
      </c>
      <c r="B2" t="s">
        <v>7</v>
      </c>
      <c r="C2" t="s">
        <v>8</v>
      </c>
      <c r="D2" t="s">
        <v>9</v>
      </c>
      <c r="E2">
        <v>5372857.3300000001</v>
      </c>
      <c r="F2">
        <v>758463.99</v>
      </c>
      <c r="G2">
        <v>4614393.34</v>
      </c>
    </row>
    <row r="3" spans="1:11">
      <c r="A3">
        <v>23</v>
      </c>
      <c r="B3" t="s">
        <v>10</v>
      </c>
      <c r="C3" t="s">
        <v>11</v>
      </c>
      <c r="D3" t="s">
        <v>9</v>
      </c>
      <c r="E3">
        <v>3778639.08</v>
      </c>
      <c r="F3">
        <v>877053.79</v>
      </c>
      <c r="G3">
        <v>2901585.29</v>
      </c>
      <c r="I3" s="22" t="s">
        <v>1</v>
      </c>
      <c r="J3" s="22" t="s">
        <v>105</v>
      </c>
      <c r="K3" s="22" t="s">
        <v>107</v>
      </c>
    </row>
    <row r="4" spans="1:11">
      <c r="A4">
        <v>13</v>
      </c>
      <c r="B4" t="s">
        <v>12</v>
      </c>
      <c r="C4" t="s">
        <v>13</v>
      </c>
      <c r="D4" t="s">
        <v>9</v>
      </c>
      <c r="E4">
        <v>3501543.15</v>
      </c>
      <c r="F4">
        <v>948150.28</v>
      </c>
      <c r="G4">
        <v>2553392.87</v>
      </c>
      <c r="I4" s="6" t="s">
        <v>7</v>
      </c>
      <c r="J4" s="6" t="s">
        <v>8</v>
      </c>
      <c r="K4">
        <f>LARGE(Table1[total_income], 1)</f>
        <v>5372857.3300000001</v>
      </c>
    </row>
    <row r="5" spans="1:11">
      <c r="A5">
        <v>16</v>
      </c>
      <c r="B5" t="s">
        <v>14</v>
      </c>
      <c r="C5" t="s">
        <v>15</v>
      </c>
      <c r="D5" t="s">
        <v>9</v>
      </c>
      <c r="E5">
        <v>3610413.7</v>
      </c>
      <c r="F5">
        <v>1423018.76</v>
      </c>
      <c r="G5">
        <v>2187394.94</v>
      </c>
      <c r="I5" s="7" t="s">
        <v>16</v>
      </c>
      <c r="J5" s="7" t="s">
        <v>17</v>
      </c>
      <c r="K5">
        <f>LARGE(Table1[total_income], 2)</f>
        <v>3991337.8</v>
      </c>
    </row>
    <row r="6" spans="1:11">
      <c r="A6">
        <v>17</v>
      </c>
      <c r="B6" t="s">
        <v>16</v>
      </c>
      <c r="C6" t="s">
        <v>17</v>
      </c>
      <c r="D6" t="s">
        <v>9</v>
      </c>
      <c r="E6">
        <v>3991337.8</v>
      </c>
      <c r="F6">
        <v>1869712.59</v>
      </c>
      <c r="G6">
        <v>2121625.21</v>
      </c>
      <c r="I6" s="6" t="s">
        <v>10</v>
      </c>
      <c r="J6" s="6" t="s">
        <v>11</v>
      </c>
      <c r="K6">
        <f>LARGE(Table1[total_income], 3)</f>
        <v>3778639.08</v>
      </c>
    </row>
    <row r="7" spans="1:11">
      <c r="A7">
        <v>4</v>
      </c>
      <c r="B7" t="s">
        <v>18</v>
      </c>
      <c r="C7" t="s">
        <v>19</v>
      </c>
      <c r="D7" t="s">
        <v>9</v>
      </c>
      <c r="E7">
        <v>2946087.76</v>
      </c>
      <c r="F7">
        <v>975066.77</v>
      </c>
      <c r="G7">
        <v>1971020.99</v>
      </c>
      <c r="I7" s="6" t="s">
        <v>60</v>
      </c>
      <c r="J7" s="6" t="s">
        <v>61</v>
      </c>
      <c r="K7">
        <f>LARGE(Table1[total_income], 27)</f>
        <v>1169121.47</v>
      </c>
    </row>
    <row r="8" spans="1:11">
      <c r="A8">
        <v>24</v>
      </c>
      <c r="B8" t="s">
        <v>20</v>
      </c>
      <c r="C8" t="s">
        <v>21</v>
      </c>
      <c r="D8" t="s">
        <v>9</v>
      </c>
      <c r="E8">
        <v>3097706.36</v>
      </c>
      <c r="F8">
        <v>1366428.34</v>
      </c>
      <c r="G8">
        <v>1731278.02</v>
      </c>
      <c r="I8" s="7" t="s">
        <v>56</v>
      </c>
      <c r="J8" s="7" t="s">
        <v>57</v>
      </c>
      <c r="K8">
        <f>LARGE(Table1[total_income], 28)</f>
        <v>1127087.08</v>
      </c>
    </row>
    <row r="9" spans="1:11">
      <c r="A9">
        <v>25</v>
      </c>
      <c r="B9" t="s">
        <v>22</v>
      </c>
      <c r="C9" t="s">
        <v>23</v>
      </c>
      <c r="D9" t="s">
        <v>9</v>
      </c>
      <c r="E9">
        <v>2745053.51</v>
      </c>
      <c r="F9">
        <v>1070808.96</v>
      </c>
      <c r="G9">
        <v>1674244.55</v>
      </c>
      <c r="I9" s="6" t="s">
        <v>62</v>
      </c>
      <c r="J9" s="6" t="s">
        <v>63</v>
      </c>
      <c r="K9">
        <f>LARGE(Table1[total_income], 29)</f>
        <v>500247.08</v>
      </c>
    </row>
    <row r="10" spans="1:11">
      <c r="A10">
        <v>19</v>
      </c>
      <c r="B10" t="s">
        <v>24</v>
      </c>
      <c r="C10" t="s">
        <v>25</v>
      </c>
      <c r="D10" t="s">
        <v>9</v>
      </c>
      <c r="E10">
        <v>2586614.89</v>
      </c>
      <c r="F10">
        <v>1273372.1299999999</v>
      </c>
      <c r="G10">
        <v>1313242.76</v>
      </c>
    </row>
    <row r="11" spans="1:11">
      <c r="A11">
        <v>14</v>
      </c>
      <c r="B11" t="s">
        <v>26</v>
      </c>
      <c r="C11" t="s">
        <v>27</v>
      </c>
      <c r="D11" t="s">
        <v>9</v>
      </c>
      <c r="E11">
        <v>2044639.42</v>
      </c>
      <c r="F11">
        <v>772287.13</v>
      </c>
      <c r="G11">
        <v>1272352.29</v>
      </c>
    </row>
    <row r="12" spans="1:11">
      <c r="A12">
        <v>3</v>
      </c>
      <c r="B12" t="s">
        <v>28</v>
      </c>
      <c r="C12" t="s">
        <v>29</v>
      </c>
      <c r="D12" t="s">
        <v>9</v>
      </c>
      <c r="E12">
        <v>3029376.47</v>
      </c>
      <c r="F12">
        <v>1786094.33</v>
      </c>
      <c r="G12">
        <v>1243282.1399999999</v>
      </c>
    </row>
    <row r="13" spans="1:11">
      <c r="A13">
        <v>10</v>
      </c>
      <c r="B13" t="s">
        <v>30</v>
      </c>
      <c r="C13" t="s">
        <v>31</v>
      </c>
      <c r="D13" t="s">
        <v>9</v>
      </c>
      <c r="E13">
        <v>2901061.03</v>
      </c>
      <c r="F13">
        <v>1902285.51</v>
      </c>
      <c r="G13">
        <v>998775.52</v>
      </c>
      <c r="I13" s="22" t="s">
        <v>1</v>
      </c>
      <c r="J13" s="22" t="s">
        <v>105</v>
      </c>
      <c r="K13" s="22" t="s">
        <v>106</v>
      </c>
    </row>
    <row r="14" spans="1:11">
      <c r="A14">
        <v>8</v>
      </c>
      <c r="B14" t="s">
        <v>32</v>
      </c>
      <c r="C14" t="s">
        <v>33</v>
      </c>
      <c r="D14" t="s">
        <v>9</v>
      </c>
      <c r="E14">
        <v>3463287.23</v>
      </c>
      <c r="F14">
        <v>2473224.5099999998</v>
      </c>
      <c r="G14">
        <v>990062.72</v>
      </c>
      <c r="I14" s="6" t="s">
        <v>7</v>
      </c>
      <c r="J14" s="6" t="s">
        <v>8</v>
      </c>
      <c r="K14">
        <f>LARGE(Table1[net_profit_or_loss], 1)</f>
        <v>4614393.34</v>
      </c>
    </row>
    <row r="15" spans="1:11">
      <c r="A15">
        <v>29</v>
      </c>
      <c r="B15" t="s">
        <v>34</v>
      </c>
      <c r="C15" t="s">
        <v>35</v>
      </c>
      <c r="D15" t="s">
        <v>9</v>
      </c>
      <c r="E15">
        <v>3407998.14</v>
      </c>
      <c r="F15">
        <v>2704359.36</v>
      </c>
      <c r="G15">
        <v>703638.78</v>
      </c>
      <c r="I15" s="7" t="s">
        <v>10</v>
      </c>
      <c r="J15" s="7" t="s">
        <v>11</v>
      </c>
      <c r="K15">
        <f>LARGE(Table1[net_profit_or_loss], 2)</f>
        <v>2901585.29</v>
      </c>
    </row>
    <row r="16" spans="1:11">
      <c r="A16">
        <v>5</v>
      </c>
      <c r="B16" t="s">
        <v>36</v>
      </c>
      <c r="C16" t="s">
        <v>37</v>
      </c>
      <c r="D16" t="s">
        <v>9</v>
      </c>
      <c r="E16">
        <v>3000896.65</v>
      </c>
      <c r="F16">
        <v>2340463.0099999998</v>
      </c>
      <c r="G16">
        <v>660433.64</v>
      </c>
      <c r="I16" s="6" t="s">
        <v>12</v>
      </c>
      <c r="J16" s="6" t="s">
        <v>13</v>
      </c>
      <c r="K16">
        <f>LARGE(Table1[net_profit_or_loss], 3)</f>
        <v>2553392.87</v>
      </c>
    </row>
    <row r="17" spans="1:11">
      <c r="A17">
        <v>18</v>
      </c>
      <c r="B17" t="s">
        <v>38</v>
      </c>
      <c r="C17" t="s">
        <v>39</v>
      </c>
      <c r="D17" t="s">
        <v>9</v>
      </c>
      <c r="E17">
        <v>3340331.8</v>
      </c>
      <c r="F17">
        <v>2787402.89</v>
      </c>
      <c r="G17">
        <v>552928.91</v>
      </c>
      <c r="I17" s="6" t="s">
        <v>60</v>
      </c>
      <c r="J17" s="6" t="s">
        <v>61</v>
      </c>
      <c r="K17">
        <f>LARGE(Table1[net_profit_or_loss], 27)</f>
        <v>-994622.48</v>
      </c>
    </row>
    <row r="18" spans="1:11">
      <c r="A18">
        <v>28</v>
      </c>
      <c r="B18" t="s">
        <v>40</v>
      </c>
      <c r="C18" t="s">
        <v>41</v>
      </c>
      <c r="D18" t="s">
        <v>9</v>
      </c>
      <c r="E18">
        <v>2672508.1</v>
      </c>
      <c r="F18">
        <v>2156828.64</v>
      </c>
      <c r="G18">
        <v>515679.46</v>
      </c>
      <c r="I18" s="7" t="s">
        <v>62</v>
      </c>
      <c r="J18" s="7" t="s">
        <v>63</v>
      </c>
      <c r="K18">
        <f>LARGE(Table1[net_profit_or_loss], 28)</f>
        <v>-1143633.6399999999</v>
      </c>
    </row>
    <row r="19" spans="1:11">
      <c r="A19">
        <v>9</v>
      </c>
      <c r="B19" t="s">
        <v>42</v>
      </c>
      <c r="C19" t="s">
        <v>43</v>
      </c>
      <c r="D19" t="s">
        <v>9</v>
      </c>
      <c r="E19">
        <v>2318465.39</v>
      </c>
      <c r="F19">
        <v>1835729.87</v>
      </c>
      <c r="G19">
        <v>482735.52</v>
      </c>
      <c r="I19" s="6" t="s">
        <v>64</v>
      </c>
      <c r="J19" s="6" t="s">
        <v>65</v>
      </c>
      <c r="K19">
        <f>LARGE(Table1[net_profit_or_loss], 29)</f>
        <v>-1356792.63</v>
      </c>
    </row>
    <row r="20" spans="1:11">
      <c r="A20">
        <v>21</v>
      </c>
      <c r="B20" t="s">
        <v>44</v>
      </c>
      <c r="C20" t="s">
        <v>45</v>
      </c>
      <c r="D20" t="s">
        <v>9</v>
      </c>
      <c r="E20">
        <v>2609944.59</v>
      </c>
      <c r="F20">
        <v>2437767.62</v>
      </c>
      <c r="G20">
        <v>172176.97</v>
      </c>
    </row>
    <row r="21" spans="1:11">
      <c r="A21">
        <v>22</v>
      </c>
      <c r="B21" t="s">
        <v>46</v>
      </c>
      <c r="C21" t="s">
        <v>47</v>
      </c>
      <c r="D21" t="s">
        <v>9</v>
      </c>
      <c r="E21">
        <v>1339939.08</v>
      </c>
      <c r="F21">
        <v>1226235.78</v>
      </c>
      <c r="G21">
        <v>113703.3</v>
      </c>
    </row>
    <row r="22" spans="1:11">
      <c r="A22">
        <v>7</v>
      </c>
      <c r="B22" t="s">
        <v>48</v>
      </c>
      <c r="C22" t="s">
        <v>49</v>
      </c>
      <c r="D22" t="s">
        <v>9</v>
      </c>
      <c r="E22">
        <v>2077434.14</v>
      </c>
      <c r="F22">
        <v>1990937.55</v>
      </c>
      <c r="G22">
        <v>86496.59</v>
      </c>
    </row>
    <row r="23" spans="1:11">
      <c r="A23">
        <v>2</v>
      </c>
      <c r="B23" t="s">
        <v>50</v>
      </c>
      <c r="C23" t="s">
        <v>51</v>
      </c>
      <c r="D23" t="s">
        <v>9</v>
      </c>
      <c r="E23">
        <v>2706373.67</v>
      </c>
      <c r="F23">
        <v>2740589.31</v>
      </c>
      <c r="G23">
        <v>-34215.64</v>
      </c>
    </row>
    <row r="24" spans="1:11">
      <c r="A24">
        <v>1</v>
      </c>
      <c r="B24" t="s">
        <v>52</v>
      </c>
      <c r="C24" t="s">
        <v>53</v>
      </c>
      <c r="D24" t="s">
        <v>9</v>
      </c>
      <c r="E24">
        <v>1912874.2</v>
      </c>
      <c r="F24">
        <v>2166382.1800000002</v>
      </c>
      <c r="G24">
        <v>-253507.98</v>
      </c>
    </row>
    <row r="25" spans="1:11">
      <c r="A25">
        <v>27</v>
      </c>
      <c r="B25" t="s">
        <v>54</v>
      </c>
      <c r="C25" t="s">
        <v>55</v>
      </c>
      <c r="D25" t="s">
        <v>9</v>
      </c>
      <c r="E25">
        <v>2163054.2999999998</v>
      </c>
      <c r="F25">
        <v>2558676.87</v>
      </c>
      <c r="G25">
        <v>-395622.57</v>
      </c>
    </row>
    <row r="26" spans="1:11">
      <c r="A26">
        <v>11</v>
      </c>
      <c r="B26" t="s">
        <v>56</v>
      </c>
      <c r="C26" t="s">
        <v>57</v>
      </c>
      <c r="D26" t="s">
        <v>9</v>
      </c>
      <c r="E26">
        <v>1127087.08</v>
      </c>
      <c r="F26">
        <v>1683344.34</v>
      </c>
      <c r="G26">
        <v>-556257.26</v>
      </c>
    </row>
    <row r="27" spans="1:11">
      <c r="A27">
        <v>6</v>
      </c>
      <c r="B27" t="s">
        <v>58</v>
      </c>
      <c r="C27" t="s">
        <v>59</v>
      </c>
      <c r="D27" t="s">
        <v>9</v>
      </c>
      <c r="E27">
        <v>1844114</v>
      </c>
      <c r="F27">
        <v>2449805.61</v>
      </c>
      <c r="G27">
        <v>-605691.61</v>
      </c>
    </row>
    <row r="28" spans="1:11">
      <c r="A28">
        <v>15</v>
      </c>
      <c r="B28" t="s">
        <v>60</v>
      </c>
      <c r="C28" t="s">
        <v>61</v>
      </c>
      <c r="D28" t="s">
        <v>9</v>
      </c>
      <c r="E28">
        <v>1169121.47</v>
      </c>
      <c r="F28">
        <v>2163743.9500000002</v>
      </c>
      <c r="G28">
        <v>-994622.48</v>
      </c>
    </row>
    <row r="29" spans="1:11">
      <c r="A29">
        <v>20</v>
      </c>
      <c r="B29" t="s">
        <v>62</v>
      </c>
      <c r="C29" t="s">
        <v>63</v>
      </c>
      <c r="D29" t="s">
        <v>9</v>
      </c>
      <c r="E29">
        <v>500247.08</v>
      </c>
      <c r="F29">
        <v>1643880.72</v>
      </c>
      <c r="G29">
        <v>-1143633.6399999999</v>
      </c>
    </row>
    <row r="30" spans="1:11">
      <c r="A30">
        <v>26</v>
      </c>
      <c r="B30" t="s">
        <v>64</v>
      </c>
      <c r="C30" t="s">
        <v>65</v>
      </c>
      <c r="D30" t="s">
        <v>9</v>
      </c>
      <c r="E30">
        <v>1481511.97</v>
      </c>
      <c r="F30">
        <v>2838304.6</v>
      </c>
      <c r="G30">
        <v>-1356792.63</v>
      </c>
    </row>
  </sheetData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2"/>
  <sheetViews>
    <sheetView topLeftCell="D1" workbookViewId="0">
      <selection activeCell="O9" sqref="O9"/>
    </sheetView>
  </sheetViews>
  <sheetFormatPr defaultRowHeight="14.4"/>
  <cols>
    <col min="1" max="1" width="12" bestFit="1" customWidth="1"/>
    <col min="2" max="2" width="21" bestFit="1" customWidth="1"/>
    <col min="3" max="3" width="15.33203125" bestFit="1" customWidth="1"/>
    <col min="4" max="4" width="14.21875" bestFit="1" customWidth="1"/>
    <col min="5" max="5" width="12.77734375" bestFit="1" customWidth="1"/>
    <col min="6" max="6" width="21.44140625" bestFit="1" customWidth="1"/>
    <col min="7" max="7" width="14.88671875" bestFit="1" customWidth="1"/>
    <col min="8" max="8" width="16.21875" bestFit="1" customWidth="1"/>
    <col min="9" max="9" width="18.44140625" bestFit="1" customWidth="1"/>
    <col min="13" max="14" width="19.5546875" bestFit="1" customWidth="1"/>
    <col min="15" max="15" width="14.6640625" customWidth="1"/>
    <col min="16" max="16" width="19.5546875" bestFit="1" customWidth="1"/>
    <col min="19" max="19" width="19.5546875" bestFit="1" customWidth="1"/>
  </cols>
  <sheetData>
    <row r="2" spans="1:17">
      <c r="A2" s="3" t="s">
        <v>0</v>
      </c>
      <c r="B2" s="3" t="s">
        <v>1</v>
      </c>
      <c r="C2" s="3" t="s">
        <v>3</v>
      </c>
      <c r="D2" s="3" t="s">
        <v>66</v>
      </c>
      <c r="E2" s="3" t="s">
        <v>67</v>
      </c>
      <c r="F2" s="3" t="s">
        <v>68</v>
      </c>
      <c r="G2" s="3" t="s">
        <v>69</v>
      </c>
      <c r="H2" s="3" t="s">
        <v>70</v>
      </c>
      <c r="I2" s="3" t="s">
        <v>71</v>
      </c>
      <c r="J2" s="3" t="s">
        <v>72</v>
      </c>
    </row>
    <row r="3" spans="1:17">
      <c r="A3" s="2">
        <v>17</v>
      </c>
      <c r="B3" s="2" t="s">
        <v>16</v>
      </c>
      <c r="C3" s="2" t="s">
        <v>9</v>
      </c>
      <c r="D3" s="2">
        <v>301402.92</v>
      </c>
      <c r="E3" s="2">
        <v>28723.32</v>
      </c>
      <c r="F3" s="2">
        <v>416667.03</v>
      </c>
      <c r="G3" s="2">
        <v>1267534.3500000001</v>
      </c>
      <c r="H3" s="2">
        <v>365563.59</v>
      </c>
      <c r="I3" s="2">
        <v>353625.37</v>
      </c>
      <c r="J3" s="2">
        <v>76469.740000000005</v>
      </c>
      <c r="P3" s="2"/>
      <c r="Q3" s="2"/>
    </row>
    <row r="4" spans="1:17">
      <c r="A4" s="2">
        <v>16</v>
      </c>
      <c r="B4" s="2" t="s">
        <v>14</v>
      </c>
      <c r="C4" s="2" t="s">
        <v>9</v>
      </c>
      <c r="D4" s="2">
        <v>265217.58</v>
      </c>
      <c r="E4" s="2">
        <v>21344.44</v>
      </c>
      <c r="F4" s="2">
        <v>367626.11</v>
      </c>
      <c r="G4" s="2">
        <v>1109463.08</v>
      </c>
      <c r="H4" s="2">
        <v>316762.28000000003</v>
      </c>
      <c r="I4" s="2">
        <v>317557.38</v>
      </c>
      <c r="J4" s="2">
        <v>67780.36</v>
      </c>
      <c r="P4" s="2"/>
      <c r="Q4" s="2"/>
    </row>
    <row r="5" spans="1:17">
      <c r="A5" s="2">
        <v>23</v>
      </c>
      <c r="B5" s="2" t="s">
        <v>10</v>
      </c>
      <c r="C5" s="2" t="s">
        <v>9</v>
      </c>
      <c r="D5" s="2">
        <v>263666.69</v>
      </c>
      <c r="E5" s="2">
        <v>13646.12</v>
      </c>
      <c r="F5" s="2">
        <v>367369.75</v>
      </c>
      <c r="G5" s="2">
        <v>1091615.0900000001</v>
      </c>
      <c r="H5" s="2">
        <v>305443.09000000003</v>
      </c>
      <c r="I5" s="2">
        <v>328007.38</v>
      </c>
      <c r="J5" s="2">
        <v>68330.7</v>
      </c>
      <c r="M5" s="17"/>
      <c r="N5" s="17"/>
      <c r="O5" s="17"/>
      <c r="P5" s="2"/>
      <c r="Q5" s="2"/>
    </row>
    <row r="6" spans="1:17">
      <c r="A6" s="2">
        <v>12</v>
      </c>
      <c r="B6" s="2" t="s">
        <v>7</v>
      </c>
      <c r="C6" s="2" t="s">
        <v>9</v>
      </c>
      <c r="D6" s="2">
        <v>351373.55</v>
      </c>
      <c r="E6" s="2">
        <v>4694.17</v>
      </c>
      <c r="F6" s="2">
        <v>492945.52</v>
      </c>
      <c r="G6" s="2">
        <v>1434496.31</v>
      </c>
      <c r="H6" s="2">
        <v>390182.54</v>
      </c>
      <c r="I6" s="2">
        <v>459039.96</v>
      </c>
      <c r="J6" s="2">
        <v>92746.83</v>
      </c>
      <c r="M6" s="15" t="s">
        <v>95</v>
      </c>
      <c r="N6" s="15" t="s">
        <v>96</v>
      </c>
      <c r="O6" s="15" t="s">
        <v>97</v>
      </c>
      <c r="P6" s="2"/>
      <c r="Q6" s="2"/>
    </row>
    <row r="7" spans="1:17">
      <c r="A7" s="2">
        <v>7</v>
      </c>
      <c r="B7" s="2" t="s">
        <v>48</v>
      </c>
      <c r="C7" s="2" t="s">
        <v>9</v>
      </c>
      <c r="D7" s="2">
        <v>121449.62</v>
      </c>
      <c r="E7" s="2">
        <v>-7191.36</v>
      </c>
      <c r="F7" s="2">
        <v>172586.37</v>
      </c>
      <c r="G7" s="2">
        <v>482602.05</v>
      </c>
      <c r="H7" s="2">
        <v>123846.32</v>
      </c>
      <c r="I7" s="2">
        <v>172986.22</v>
      </c>
      <c r="J7" s="2">
        <v>33158.97</v>
      </c>
      <c r="M7" s="14" t="s">
        <v>93</v>
      </c>
      <c r="N7" s="16" t="s">
        <v>7</v>
      </c>
      <c r="O7" s="16">
        <f>LARGE(D3:J31,1)</f>
        <v>1434496.31</v>
      </c>
      <c r="P7" s="2"/>
      <c r="Q7" s="2"/>
    </row>
    <row r="8" spans="1:17">
      <c r="A8" s="2">
        <v>25</v>
      </c>
      <c r="B8" s="2" t="s">
        <v>22</v>
      </c>
      <c r="C8" s="2" t="s">
        <v>9</v>
      </c>
      <c r="D8" s="2">
        <v>158956.04999999999</v>
      </c>
      <c r="E8" s="2">
        <v>-10454.61</v>
      </c>
      <c r="F8" s="2">
        <v>226145.6</v>
      </c>
      <c r="G8" s="2">
        <v>630077.03</v>
      </c>
      <c r="H8" s="2">
        <v>160789.91</v>
      </c>
      <c r="I8" s="2">
        <v>228102.25</v>
      </c>
      <c r="J8" s="2">
        <v>43529.53</v>
      </c>
      <c r="M8" s="14" t="s">
        <v>93</v>
      </c>
      <c r="N8" s="16" t="s">
        <v>16</v>
      </c>
      <c r="O8" s="16">
        <f>LARGE(D4:J32,2)</f>
        <v>1109463.08</v>
      </c>
      <c r="P8" s="2"/>
      <c r="Q8" s="2"/>
    </row>
    <row r="9" spans="1:17">
      <c r="A9" s="2">
        <v>24</v>
      </c>
      <c r="B9" s="2" t="s">
        <v>20</v>
      </c>
      <c r="C9" s="2" t="s">
        <v>9</v>
      </c>
      <c r="D9" s="2">
        <v>178948.7</v>
      </c>
      <c r="E9" s="2">
        <v>-12065.32</v>
      </c>
      <c r="F9" s="2">
        <v>254662.94</v>
      </c>
      <c r="G9" s="2">
        <v>708881.13</v>
      </c>
      <c r="H9" s="2">
        <v>180643.5</v>
      </c>
      <c r="I9" s="2">
        <v>257272.38</v>
      </c>
      <c r="J9" s="2">
        <v>49041.42</v>
      </c>
      <c r="M9" s="14" t="s">
        <v>93</v>
      </c>
      <c r="N9" s="16" t="s">
        <v>14</v>
      </c>
      <c r="O9" s="16">
        <f>LARGE(D5:J33,3)</f>
        <v>708881.13</v>
      </c>
      <c r="P9" s="2"/>
      <c r="Q9" s="2"/>
    </row>
    <row r="10" spans="1:17">
      <c r="A10" s="2">
        <v>4</v>
      </c>
      <c r="B10" s="2" t="s">
        <v>18</v>
      </c>
      <c r="C10" s="2" t="s">
        <v>9</v>
      </c>
      <c r="D10" s="2">
        <v>167717.53</v>
      </c>
      <c r="E10" s="2">
        <v>-13020.05</v>
      </c>
      <c r="F10" s="2">
        <v>239107.78</v>
      </c>
      <c r="G10" s="2">
        <v>661822.38</v>
      </c>
      <c r="H10" s="2">
        <v>167165.98000000001</v>
      </c>
      <c r="I10" s="2">
        <v>243907.43</v>
      </c>
      <c r="J10" s="2">
        <v>46177.48</v>
      </c>
      <c r="M10" s="19" t="s">
        <v>62</v>
      </c>
      <c r="N10" s="20" t="s">
        <v>94</v>
      </c>
      <c r="O10" s="20">
        <f>SMALL(D3:J31, 3)</f>
        <v>-243590.34</v>
      </c>
      <c r="P10" s="2"/>
      <c r="Q10" s="2"/>
    </row>
    <row r="11" spans="1:17">
      <c r="A11" s="2">
        <v>5</v>
      </c>
      <c r="B11" s="2" t="s">
        <v>36</v>
      </c>
      <c r="C11" s="2" t="s">
        <v>9</v>
      </c>
      <c r="D11" s="2">
        <v>169476.79</v>
      </c>
      <c r="E11" s="2">
        <v>-14112.87</v>
      </c>
      <c r="F11" s="2">
        <v>241854.96</v>
      </c>
      <c r="G11" s="2">
        <v>667330.16</v>
      </c>
      <c r="H11" s="2">
        <v>167724.16</v>
      </c>
      <c r="I11" s="2">
        <v>248019.78</v>
      </c>
      <c r="J11" s="2">
        <v>46781.38</v>
      </c>
      <c r="M11" s="19" t="s">
        <v>64</v>
      </c>
      <c r="N11" s="21" t="s">
        <v>93</v>
      </c>
      <c r="O11" s="20">
        <f>SMALL(D4:J32, 2)</f>
        <v>-326353.90999999997</v>
      </c>
      <c r="P11" s="2"/>
      <c r="Q11" s="2"/>
    </row>
    <row r="12" spans="1:17">
      <c r="A12" s="2">
        <v>28</v>
      </c>
      <c r="B12" s="2" t="s">
        <v>40</v>
      </c>
      <c r="C12" s="2" t="s">
        <v>9</v>
      </c>
      <c r="D12" s="2">
        <v>141518.03</v>
      </c>
      <c r="E12" s="2">
        <v>-18451.560000000001</v>
      </c>
      <c r="F12" s="2">
        <v>203622.61</v>
      </c>
      <c r="G12" s="2">
        <v>547239.65</v>
      </c>
      <c r="H12" s="2">
        <v>131720.9</v>
      </c>
      <c r="I12" s="2">
        <v>217937.41</v>
      </c>
      <c r="J12" s="2">
        <v>39897.17</v>
      </c>
      <c r="M12" s="19" t="s">
        <v>62</v>
      </c>
      <c r="N12" s="20" t="s">
        <v>93</v>
      </c>
      <c r="O12" s="20">
        <f>SMALL(D5:J33, 1)</f>
        <v>-612889.44999999995</v>
      </c>
      <c r="P12" s="2"/>
      <c r="Q12" s="2"/>
    </row>
    <row r="13" spans="1:17">
      <c r="A13" s="2">
        <v>14</v>
      </c>
      <c r="B13" s="2" t="s">
        <v>26</v>
      </c>
      <c r="C13" s="2" t="s">
        <v>9</v>
      </c>
      <c r="D13" s="2">
        <v>101243.66</v>
      </c>
      <c r="E13" s="2">
        <v>-18508.29</v>
      </c>
      <c r="F13" s="2">
        <v>147000.98000000001</v>
      </c>
      <c r="G13" s="2">
        <v>383539.96</v>
      </c>
      <c r="H13" s="2">
        <v>87599.9</v>
      </c>
      <c r="I13" s="2">
        <v>164540.21</v>
      </c>
      <c r="J13" s="2">
        <v>29206.39</v>
      </c>
      <c r="P13" s="2"/>
      <c r="Q13" s="2"/>
    </row>
    <row r="14" spans="1:17">
      <c r="A14" s="2">
        <v>27</v>
      </c>
      <c r="B14" s="2" t="s">
        <v>54</v>
      </c>
      <c r="C14" s="2" t="s">
        <v>9</v>
      </c>
      <c r="D14" s="2">
        <v>107419.48</v>
      </c>
      <c r="E14" s="2">
        <v>-19385</v>
      </c>
      <c r="F14" s="2">
        <v>155904.9</v>
      </c>
      <c r="G14" s="2">
        <v>407314.16</v>
      </c>
      <c r="H14" s="2">
        <v>93258.82</v>
      </c>
      <c r="I14" s="2">
        <v>174167.12</v>
      </c>
      <c r="J14" s="2">
        <v>30956.43</v>
      </c>
      <c r="P14" s="2"/>
      <c r="Q14" s="2"/>
    </row>
    <row r="15" spans="1:17">
      <c r="A15" s="2">
        <v>1</v>
      </c>
      <c r="B15" s="2" t="s">
        <v>52</v>
      </c>
      <c r="C15" s="2" t="s">
        <v>9</v>
      </c>
      <c r="D15" s="2">
        <v>88483.06</v>
      </c>
      <c r="E15" s="2">
        <v>-21213.06</v>
      </c>
      <c r="F15" s="2">
        <v>129732.56</v>
      </c>
      <c r="G15" s="2">
        <v>327642.84999999998</v>
      </c>
      <c r="H15" s="2">
        <v>70262.03</v>
      </c>
      <c r="I15" s="2">
        <v>151987.78</v>
      </c>
      <c r="J15" s="2">
        <v>26154.94</v>
      </c>
      <c r="P15" s="2"/>
      <c r="Q15" s="2"/>
    </row>
    <row r="16" spans="1:17">
      <c r="A16" s="2">
        <v>9</v>
      </c>
      <c r="B16" s="2" t="s">
        <v>42</v>
      </c>
      <c r="C16" s="2" t="s">
        <v>9</v>
      </c>
      <c r="D16" s="2">
        <v>111505.56</v>
      </c>
      <c r="E16" s="2">
        <v>-23047.64</v>
      </c>
      <c r="F16" s="2">
        <v>162566.6</v>
      </c>
      <c r="G16" s="2">
        <v>418419.89</v>
      </c>
      <c r="H16" s="2">
        <v>93149.66</v>
      </c>
      <c r="I16" s="2">
        <v>185545.74</v>
      </c>
      <c r="J16" s="2">
        <v>32499.62</v>
      </c>
      <c r="M16" s="2"/>
      <c r="N16" s="2"/>
      <c r="P16" s="2"/>
      <c r="Q16" s="2"/>
    </row>
    <row r="17" spans="1:17">
      <c r="A17" s="2">
        <v>29</v>
      </c>
      <c r="B17" s="2" t="s">
        <v>34</v>
      </c>
      <c r="C17" s="2" t="s">
        <v>9</v>
      </c>
      <c r="D17" s="2">
        <v>180579</v>
      </c>
      <c r="E17" s="2">
        <v>-23458.05</v>
      </c>
      <c r="F17" s="2">
        <v>259803.74</v>
      </c>
      <c r="G17" s="2">
        <v>698415.14</v>
      </c>
      <c r="H17" s="2">
        <v>168185.72</v>
      </c>
      <c r="I17" s="2">
        <v>277950.82</v>
      </c>
      <c r="J17" s="2">
        <v>50898.55</v>
      </c>
      <c r="M17" s="2"/>
      <c r="N17" s="3"/>
      <c r="O17" s="3"/>
      <c r="P17" s="2"/>
      <c r="Q17" s="2"/>
    </row>
    <row r="18" spans="1:17">
      <c r="A18" s="2">
        <v>3</v>
      </c>
      <c r="B18" s="2" t="s">
        <v>28</v>
      </c>
      <c r="C18" s="2" t="s">
        <v>9</v>
      </c>
      <c r="D18" s="2">
        <v>154973.68</v>
      </c>
      <c r="E18" s="2">
        <v>-24316.51</v>
      </c>
      <c r="F18" s="2">
        <v>224010.86</v>
      </c>
      <c r="G18" s="2">
        <v>593105.81000000006</v>
      </c>
      <c r="H18" s="2">
        <v>139106.82999999999</v>
      </c>
      <c r="I18" s="2">
        <v>245338.74</v>
      </c>
      <c r="J18" s="2">
        <v>44204.45</v>
      </c>
      <c r="M18" s="2"/>
      <c r="N18" s="2"/>
      <c r="O18" s="2"/>
      <c r="P18" s="2"/>
      <c r="Q18" s="2"/>
    </row>
    <row r="19" spans="1:17">
      <c r="A19" s="2">
        <v>11</v>
      </c>
      <c r="B19" s="2" t="s">
        <v>56</v>
      </c>
      <c r="C19" s="2" t="s">
        <v>9</v>
      </c>
      <c r="D19" s="2">
        <v>33178.910000000003</v>
      </c>
      <c r="E19" s="2">
        <v>-24346.67</v>
      </c>
      <c r="F19" s="2">
        <v>52744.51</v>
      </c>
      <c r="G19" s="2">
        <v>98269.31</v>
      </c>
      <c r="H19" s="2">
        <v>5856.1</v>
      </c>
      <c r="I19" s="2">
        <v>83629.070000000007</v>
      </c>
      <c r="J19" s="2">
        <v>11856.48</v>
      </c>
      <c r="M19" s="2"/>
      <c r="N19" s="2"/>
      <c r="O19" s="2"/>
      <c r="P19" s="2"/>
      <c r="Q19" s="2"/>
    </row>
    <row r="20" spans="1:17">
      <c r="A20" s="2">
        <v>6</v>
      </c>
      <c r="B20" s="2" t="s">
        <v>58</v>
      </c>
      <c r="C20" s="2" t="s">
        <v>9</v>
      </c>
      <c r="D20" s="2">
        <v>73852.83</v>
      </c>
      <c r="E20" s="2">
        <v>-27606.54</v>
      </c>
      <c r="F20" s="2">
        <v>110757.17</v>
      </c>
      <c r="G20" s="2">
        <v>258617.29</v>
      </c>
      <c r="H20" s="2">
        <v>46268.35</v>
      </c>
      <c r="I20" s="2">
        <v>142946.42000000001</v>
      </c>
      <c r="J20" s="2">
        <v>23067.97</v>
      </c>
      <c r="M20" s="2"/>
      <c r="N20" s="2"/>
      <c r="O20" s="2"/>
      <c r="P20" s="2"/>
      <c r="Q20" s="2"/>
    </row>
    <row r="21" spans="1:17">
      <c r="A21" s="2">
        <v>15</v>
      </c>
      <c r="B21" s="2" t="s">
        <v>60</v>
      </c>
      <c r="C21" s="2" t="s">
        <v>9</v>
      </c>
      <c r="D21" s="2">
        <v>30214.77</v>
      </c>
      <c r="E21" s="2">
        <v>-27880.639999999999</v>
      </c>
      <c r="F21" s="2">
        <v>49459.67</v>
      </c>
      <c r="G21" s="2">
        <v>80926.53</v>
      </c>
      <c r="H21" s="2">
        <v>-1803.39</v>
      </c>
      <c r="I21" s="2">
        <v>85435.01</v>
      </c>
      <c r="J21" s="2">
        <v>11510.88</v>
      </c>
      <c r="M21" s="2"/>
      <c r="N21" s="2"/>
      <c r="O21" s="2"/>
      <c r="P21" s="2"/>
      <c r="Q21" s="2"/>
    </row>
    <row r="22" spans="1:17">
      <c r="A22" s="2">
        <v>21</v>
      </c>
      <c r="B22" s="2" t="s">
        <v>44</v>
      </c>
      <c r="C22" s="2" t="s">
        <v>9</v>
      </c>
      <c r="D22" s="2">
        <v>118782.35</v>
      </c>
      <c r="E22" s="2">
        <v>-30158.81</v>
      </c>
      <c r="F22" s="2">
        <v>174577.37</v>
      </c>
      <c r="G22" s="2">
        <v>437315.06</v>
      </c>
      <c r="H22" s="2">
        <v>92219.67</v>
      </c>
      <c r="I22" s="2">
        <v>206765.88</v>
      </c>
      <c r="J22" s="2">
        <v>35321.410000000003</v>
      </c>
      <c r="M22" s="2"/>
      <c r="N22" s="2"/>
      <c r="O22" s="2"/>
      <c r="P22" s="2"/>
      <c r="Q22" s="2"/>
    </row>
    <row r="23" spans="1:17">
      <c r="A23" s="2">
        <v>22</v>
      </c>
      <c r="B23" s="2" t="s">
        <v>46</v>
      </c>
      <c r="C23" s="2" t="s">
        <v>9</v>
      </c>
      <c r="D23" s="2">
        <v>32791.56</v>
      </c>
      <c r="E23" s="2">
        <v>-33102.839999999997</v>
      </c>
      <c r="F23" s="2">
        <v>54388.84</v>
      </c>
      <c r="G23" s="2">
        <v>83561.429999999993</v>
      </c>
      <c r="H23" s="2">
        <v>-5512.79</v>
      </c>
      <c r="I23" s="2">
        <v>97343.4</v>
      </c>
      <c r="J23" s="2">
        <v>12848.11</v>
      </c>
      <c r="M23" s="2"/>
      <c r="N23" s="2"/>
      <c r="O23" s="2"/>
      <c r="P23" s="2"/>
      <c r="Q23" s="2"/>
    </row>
    <row r="24" spans="1:17">
      <c r="A24" s="2">
        <v>8</v>
      </c>
      <c r="B24" s="4" t="s">
        <v>32</v>
      </c>
      <c r="C24" s="2" t="s">
        <v>9</v>
      </c>
      <c r="D24" s="2">
        <v>165014.04999999999</v>
      </c>
      <c r="E24" s="2">
        <v>-35397.71</v>
      </c>
      <c r="F24" s="2">
        <v>240900.43</v>
      </c>
      <c r="G24" s="2">
        <v>617272.99</v>
      </c>
      <c r="H24" s="2">
        <v>136236.97</v>
      </c>
      <c r="I24" s="2">
        <v>276680.56</v>
      </c>
      <c r="J24" s="2">
        <v>48256.56</v>
      </c>
      <c r="M24" s="2"/>
      <c r="N24" s="2"/>
      <c r="O24" s="2"/>
      <c r="P24" s="2"/>
      <c r="Q24" s="2"/>
    </row>
    <row r="25" spans="1:17">
      <c r="A25" s="2">
        <v>18</v>
      </c>
      <c r="B25" s="2" t="s">
        <v>38</v>
      </c>
      <c r="C25" s="2" t="s">
        <v>9</v>
      </c>
      <c r="D25" s="2">
        <v>153871.70000000001</v>
      </c>
      <c r="E25" s="2">
        <v>-37443.449999999997</v>
      </c>
      <c r="F25" s="2">
        <v>225742.95</v>
      </c>
      <c r="G25" s="2">
        <v>568938.62</v>
      </c>
      <c r="H25" s="2">
        <v>121492.86</v>
      </c>
      <c r="I25" s="2">
        <v>265206.46999999997</v>
      </c>
      <c r="J25" s="2">
        <v>45552.61</v>
      </c>
      <c r="M25" s="2"/>
      <c r="N25" s="2"/>
      <c r="O25" s="2"/>
      <c r="P25" s="2"/>
      <c r="Q25" s="2"/>
    </row>
    <row r="26" spans="1:17">
      <c r="A26" s="2">
        <v>13</v>
      </c>
      <c r="B26" s="2" t="s">
        <v>12</v>
      </c>
      <c r="C26" s="2" t="s">
        <v>9</v>
      </c>
      <c r="D26" s="2">
        <v>133010.9</v>
      </c>
      <c r="E26" s="2">
        <v>-56929.91</v>
      </c>
      <c r="F26" s="2">
        <v>201279.06</v>
      </c>
      <c r="G26" s="2">
        <v>454961.91</v>
      </c>
      <c r="H26" s="2">
        <v>74318.289999999994</v>
      </c>
      <c r="I26" s="2">
        <v>269166.21000000002</v>
      </c>
      <c r="J26" s="2">
        <v>42447.26</v>
      </c>
      <c r="M26" s="2"/>
      <c r="N26" s="2"/>
      <c r="O26" s="2"/>
      <c r="P26" s="2"/>
      <c r="Q26" s="2"/>
    </row>
    <row r="27" spans="1:17">
      <c r="A27" s="2">
        <v>19</v>
      </c>
      <c r="B27" s="2" t="s">
        <v>24</v>
      </c>
      <c r="C27" s="2" t="s">
        <v>9</v>
      </c>
      <c r="D27" s="2">
        <v>55236.67</v>
      </c>
      <c r="E27" s="2">
        <v>-68941.67</v>
      </c>
      <c r="F27" s="2">
        <v>94911.99</v>
      </c>
      <c r="G27" s="2">
        <v>120986.48</v>
      </c>
      <c r="H27" s="2">
        <v>-25761.98</v>
      </c>
      <c r="I27" s="2">
        <v>185391.43</v>
      </c>
      <c r="J27" s="2">
        <v>23289.95</v>
      </c>
      <c r="M27" s="2"/>
      <c r="N27" s="2"/>
      <c r="O27" s="2"/>
      <c r="P27" s="2"/>
      <c r="Q27" s="2"/>
    </row>
    <row r="28" spans="1:17">
      <c r="A28" s="2">
        <v>2</v>
      </c>
      <c r="B28" s="2" t="s">
        <v>50</v>
      </c>
      <c r="C28" s="2" t="s">
        <v>9</v>
      </c>
      <c r="D28" s="2">
        <v>48721.64</v>
      </c>
      <c r="E28" s="2">
        <v>-77803.92</v>
      </c>
      <c r="F28" s="2">
        <v>87965.78</v>
      </c>
      <c r="G28" s="2">
        <v>81225.789999999994</v>
      </c>
      <c r="H28" s="2">
        <v>-43965.599999999999</v>
      </c>
      <c r="I28" s="2">
        <v>191139.8</v>
      </c>
      <c r="J28" s="2">
        <v>22667.17</v>
      </c>
      <c r="M28" s="2"/>
      <c r="N28" s="2"/>
      <c r="O28" s="2"/>
      <c r="P28" s="2"/>
      <c r="Q28" s="2"/>
    </row>
    <row r="29" spans="1:17">
      <c r="A29" s="2">
        <v>10</v>
      </c>
      <c r="B29" s="2" t="s">
        <v>30</v>
      </c>
      <c r="C29" s="2" t="s">
        <v>9</v>
      </c>
      <c r="D29" s="2">
        <v>50186</v>
      </c>
      <c r="E29" s="2">
        <v>-84676.19</v>
      </c>
      <c r="F29" s="2">
        <v>91743.11</v>
      </c>
      <c r="G29" s="2">
        <v>76866.37</v>
      </c>
      <c r="H29" s="2">
        <v>-50954.29</v>
      </c>
      <c r="I29" s="2">
        <v>204252.09</v>
      </c>
      <c r="J29" s="2">
        <v>23915.18</v>
      </c>
      <c r="M29" s="2"/>
      <c r="N29" s="2"/>
      <c r="O29" s="2"/>
      <c r="P29" s="2"/>
      <c r="Q29" s="2"/>
    </row>
    <row r="30" spans="1:17">
      <c r="A30" s="2">
        <v>26</v>
      </c>
      <c r="B30" s="2" t="s">
        <v>64</v>
      </c>
      <c r="C30" s="2" t="s">
        <v>9</v>
      </c>
      <c r="D30" s="2">
        <v>-47492.639999999999</v>
      </c>
      <c r="E30" s="2">
        <v>-88943.38</v>
      </c>
      <c r="F30" s="2">
        <v>-44550.68</v>
      </c>
      <c r="G30" s="2">
        <v>-326353.90999999997</v>
      </c>
      <c r="H30" s="2">
        <v>-163124.29</v>
      </c>
      <c r="I30" s="2">
        <v>81456.83</v>
      </c>
      <c r="J30" s="2">
        <v>-1497.31</v>
      </c>
      <c r="M30" s="2"/>
      <c r="N30" s="2"/>
      <c r="O30" s="2"/>
      <c r="P30" s="2"/>
      <c r="Q30" s="2"/>
    </row>
    <row r="31" spans="1:17">
      <c r="A31" s="2">
        <v>20</v>
      </c>
      <c r="B31" s="2" t="s">
        <v>62</v>
      </c>
      <c r="C31" s="2" t="s">
        <v>9</v>
      </c>
      <c r="D31" s="2">
        <v>-116574.92</v>
      </c>
      <c r="E31" s="2">
        <v>-92869.21</v>
      </c>
      <c r="F31" s="2">
        <v>-140716.18</v>
      </c>
      <c r="G31" s="2">
        <v>-612889.44999999995</v>
      </c>
      <c r="H31" s="2">
        <v>-243590.34</v>
      </c>
      <c r="I31" s="2">
        <v>-3913.6</v>
      </c>
      <c r="J31" s="2">
        <v>-19356.560000000001</v>
      </c>
      <c r="M31" s="2"/>
      <c r="N31" s="2"/>
      <c r="O31" s="2"/>
      <c r="P31" s="2"/>
      <c r="Q31" s="2"/>
    </row>
    <row r="32" spans="1:17">
      <c r="M32" s="2"/>
      <c r="N32" s="2"/>
      <c r="O32" s="2"/>
      <c r="P32" s="2"/>
      <c r="Q32" s="2"/>
    </row>
    <row r="33" spans="13:17">
      <c r="M33" s="2"/>
      <c r="N33" s="2"/>
      <c r="O33" s="2"/>
      <c r="P33" s="2"/>
      <c r="Q33" s="2"/>
    </row>
    <row r="34" spans="13:17">
      <c r="M34" s="2"/>
      <c r="N34" s="2"/>
      <c r="O34" s="2"/>
      <c r="P34" s="2"/>
      <c r="Q34" s="2"/>
    </row>
    <row r="35" spans="13:17">
      <c r="M35" s="2"/>
      <c r="N35" s="4"/>
      <c r="O35" s="2"/>
    </row>
    <row r="36" spans="13:17">
      <c r="M36" s="2"/>
      <c r="N36" s="2"/>
      <c r="O36" s="2"/>
      <c r="P36" s="2"/>
      <c r="Q36" s="2"/>
    </row>
    <row r="37" spans="13:17">
      <c r="M37" s="2"/>
      <c r="N37" s="2"/>
      <c r="O37" s="2"/>
      <c r="P37" s="2"/>
      <c r="Q37" s="2"/>
    </row>
    <row r="38" spans="13:17">
      <c r="N38" s="2"/>
      <c r="O38" s="2"/>
      <c r="P38" s="2"/>
      <c r="Q38" s="2"/>
    </row>
    <row r="39" spans="13:17">
      <c r="N39" s="2"/>
      <c r="O39" s="2"/>
      <c r="P39" s="2"/>
      <c r="Q39" s="2"/>
    </row>
    <row r="40" spans="13:17">
      <c r="N40" s="2"/>
      <c r="O40" s="2"/>
      <c r="P40" s="2"/>
      <c r="Q40" s="2"/>
    </row>
    <row r="41" spans="13:17">
      <c r="N41" s="2"/>
      <c r="O41" s="2"/>
      <c r="P41" s="2"/>
      <c r="Q41" s="2"/>
    </row>
    <row r="42" spans="13:17">
      <c r="N42" s="2"/>
      <c r="O42" s="2"/>
    </row>
  </sheetData>
  <sortState ref="A3:J41">
    <sortCondition descending="1" ref="E1"/>
  </sortState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E24" sqref="E24"/>
    </sheetView>
  </sheetViews>
  <sheetFormatPr defaultRowHeight="14.4"/>
  <cols>
    <col min="1" max="1" width="15.88671875" customWidth="1"/>
    <col min="2" max="2" width="17.33203125" customWidth="1"/>
  </cols>
  <sheetData>
    <row r="1" spans="1:3">
      <c r="A1" s="3" t="s">
        <v>73</v>
      </c>
      <c r="B1" s="3" t="s">
        <v>78</v>
      </c>
      <c r="C1" s="4"/>
    </row>
    <row r="2" spans="1:3">
      <c r="A2" s="4" t="s">
        <v>74</v>
      </c>
      <c r="B2" s="4">
        <v>19952535.039999999</v>
      </c>
      <c r="C2" s="4"/>
    </row>
    <row r="3" spans="1:3">
      <c r="A3" s="4" t="s">
        <v>75</v>
      </c>
      <c r="B3" s="4">
        <v>32998423.350000001</v>
      </c>
      <c r="C3" s="4"/>
    </row>
    <row r="4" spans="1:3">
      <c r="A4" s="4" t="s">
        <v>76</v>
      </c>
      <c r="B4" s="4">
        <v>14580698.689999999</v>
      </c>
      <c r="C4" s="4"/>
    </row>
    <row r="5" spans="1:3">
      <c r="A5" s="4" t="s">
        <v>77</v>
      </c>
      <c r="B5" s="4">
        <v>9208862.3300000001</v>
      </c>
      <c r="C5" s="4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K26" sqref="K26"/>
    </sheetView>
  </sheetViews>
  <sheetFormatPr defaultRowHeight="14.4"/>
  <cols>
    <col min="1" max="1" width="15.109375" customWidth="1"/>
    <col min="2" max="2" width="13.88671875" customWidth="1"/>
  </cols>
  <sheetData>
    <row r="1" spans="1:2">
      <c r="A1" s="3" t="s">
        <v>79</v>
      </c>
      <c r="B1" s="3" t="s">
        <v>80</v>
      </c>
    </row>
    <row r="2" spans="1:2">
      <c r="A2" s="4" t="s">
        <v>81</v>
      </c>
      <c r="B2" s="4">
        <v>2425064.2799999998</v>
      </c>
    </row>
    <row r="3" spans="1:2">
      <c r="A3" s="4" t="s">
        <v>82</v>
      </c>
      <c r="B3" s="4">
        <v>7172463.6900000004</v>
      </c>
    </row>
    <row r="4" spans="1:2">
      <c r="A4" s="4" t="s">
        <v>83</v>
      </c>
      <c r="B4" s="4">
        <v>7140142.8300000001</v>
      </c>
    </row>
    <row r="5" spans="1:2">
      <c r="A5" s="4" t="s">
        <v>84</v>
      </c>
      <c r="B5" s="4">
        <v>5563110.96</v>
      </c>
    </row>
    <row r="6" spans="1:2">
      <c r="A6" s="4" t="s">
        <v>85</v>
      </c>
      <c r="B6" s="4">
        <v>1219318.24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1"/>
  <sheetViews>
    <sheetView workbookViewId="0">
      <selection activeCell="D24" sqref="D24:D31"/>
    </sheetView>
  </sheetViews>
  <sheetFormatPr defaultRowHeight="14.4"/>
  <cols>
    <col min="2" max="2" width="13.88671875" customWidth="1"/>
    <col min="3" max="3" width="21" bestFit="1" customWidth="1"/>
    <col min="4" max="4" width="21.21875" customWidth="1"/>
  </cols>
  <sheetData>
    <row r="2" spans="2:4">
      <c r="B2" s="2" t="s">
        <v>0</v>
      </c>
      <c r="C2" s="2" t="s">
        <v>1</v>
      </c>
      <c r="D2" s="2" t="s">
        <v>116</v>
      </c>
    </row>
    <row r="3" spans="2:4">
      <c r="B3" s="2">
        <v>12</v>
      </c>
      <c r="C3" s="2" t="s">
        <v>7</v>
      </c>
      <c r="D3" s="2">
        <v>7.08</v>
      </c>
    </row>
    <row r="4" spans="2:4">
      <c r="B4" s="2">
        <v>23</v>
      </c>
      <c r="C4" s="2" t="s">
        <v>10</v>
      </c>
      <c r="D4" s="2">
        <v>4.3099999999999996</v>
      </c>
    </row>
    <row r="5" spans="2:4">
      <c r="B5" s="2">
        <v>13</v>
      </c>
      <c r="C5" s="2" t="s">
        <v>12</v>
      </c>
      <c r="D5" s="2">
        <v>3.69</v>
      </c>
    </row>
    <row r="6" spans="2:4">
      <c r="B6" s="2">
        <v>4</v>
      </c>
      <c r="C6" s="2" t="s">
        <v>18</v>
      </c>
      <c r="D6" s="2">
        <v>3.02</v>
      </c>
    </row>
    <row r="7" spans="2:4">
      <c r="B7" s="2">
        <v>14</v>
      </c>
      <c r="C7" s="2" t="s">
        <v>26</v>
      </c>
      <c r="D7" s="2">
        <v>2.65</v>
      </c>
    </row>
    <row r="8" spans="2:4">
      <c r="B8" s="2">
        <v>25</v>
      </c>
      <c r="C8" s="2" t="s">
        <v>22</v>
      </c>
      <c r="D8" s="2">
        <v>2.56</v>
      </c>
    </row>
    <row r="9" spans="2:4">
      <c r="B9" s="2">
        <v>16</v>
      </c>
      <c r="C9" s="2" t="s">
        <v>14</v>
      </c>
      <c r="D9" s="2">
        <v>2.54</v>
      </c>
    </row>
    <row r="10" spans="2:4">
      <c r="B10" s="2">
        <v>24</v>
      </c>
      <c r="C10" s="2" t="s">
        <v>20</v>
      </c>
      <c r="D10" s="2">
        <v>2.27</v>
      </c>
    </row>
    <row r="11" spans="2:4">
      <c r="B11" s="2">
        <v>17</v>
      </c>
      <c r="C11" s="2" t="s">
        <v>16</v>
      </c>
      <c r="D11" s="2">
        <v>2.13</v>
      </c>
    </row>
    <row r="12" spans="2:4">
      <c r="B12" s="2">
        <v>19</v>
      </c>
      <c r="C12" s="2" t="s">
        <v>24</v>
      </c>
      <c r="D12" s="2">
        <v>2.0299999999999998</v>
      </c>
    </row>
    <row r="13" spans="2:4">
      <c r="B13" s="2">
        <v>3</v>
      </c>
      <c r="C13" s="2" t="s">
        <v>28</v>
      </c>
      <c r="D13" s="2">
        <v>1.7</v>
      </c>
    </row>
    <row r="14" spans="2:4">
      <c r="B14" s="2">
        <v>10</v>
      </c>
      <c r="C14" s="2" t="s">
        <v>30</v>
      </c>
      <c r="D14" s="2">
        <v>1.53</v>
      </c>
    </row>
    <row r="15" spans="2:4">
      <c r="B15" s="2">
        <v>8</v>
      </c>
      <c r="C15" s="2" t="s">
        <v>32</v>
      </c>
      <c r="D15" s="2">
        <v>1.4</v>
      </c>
    </row>
    <row r="16" spans="2:4">
      <c r="B16" s="2">
        <v>5</v>
      </c>
      <c r="C16" s="2" t="s">
        <v>36</v>
      </c>
      <c r="D16" s="2">
        <v>1.28</v>
      </c>
    </row>
    <row r="17" spans="2:4">
      <c r="B17" s="2">
        <v>9</v>
      </c>
      <c r="C17" s="2" t="s">
        <v>42</v>
      </c>
      <c r="D17" s="2">
        <v>1.26</v>
      </c>
    </row>
    <row r="18" spans="2:4">
      <c r="B18" s="2">
        <v>29</v>
      </c>
      <c r="C18" s="2" t="s">
        <v>34</v>
      </c>
      <c r="D18" s="2">
        <v>1.26</v>
      </c>
    </row>
    <row r="19" spans="2:4">
      <c r="B19" s="2">
        <v>28</v>
      </c>
      <c r="C19" s="2" t="s">
        <v>40</v>
      </c>
      <c r="D19" s="2">
        <v>1.24</v>
      </c>
    </row>
    <row r="20" spans="2:4">
      <c r="B20" s="2">
        <v>18</v>
      </c>
      <c r="C20" s="2" t="s">
        <v>38</v>
      </c>
      <c r="D20" s="2">
        <v>1.2</v>
      </c>
    </row>
    <row r="21" spans="2:4">
      <c r="B21" s="2">
        <v>22</v>
      </c>
      <c r="C21" s="2" t="s">
        <v>46</v>
      </c>
      <c r="D21" s="2">
        <v>1.0900000000000001</v>
      </c>
    </row>
    <row r="22" spans="2:4">
      <c r="B22" s="2">
        <v>21</v>
      </c>
      <c r="C22" s="2" t="s">
        <v>44</v>
      </c>
      <c r="D22" s="2">
        <v>1.07</v>
      </c>
    </row>
    <row r="23" spans="2:4">
      <c r="B23" s="2">
        <v>7</v>
      </c>
      <c r="C23" s="2" t="s">
        <v>48</v>
      </c>
      <c r="D23" s="2">
        <v>1.04</v>
      </c>
    </row>
    <row r="24" spans="2:4">
      <c r="B24" s="2">
        <v>2</v>
      </c>
      <c r="C24" s="2" t="s">
        <v>50</v>
      </c>
      <c r="D24" s="2">
        <v>0.99</v>
      </c>
    </row>
    <row r="25" spans="2:4">
      <c r="B25" s="2">
        <v>1</v>
      </c>
      <c r="C25" s="2" t="s">
        <v>52</v>
      </c>
      <c r="D25" s="2">
        <v>0.88</v>
      </c>
    </row>
    <row r="26" spans="2:4">
      <c r="B26" s="2">
        <v>27</v>
      </c>
      <c r="C26" s="2" t="s">
        <v>54</v>
      </c>
      <c r="D26" s="2">
        <v>0.85</v>
      </c>
    </row>
    <row r="27" spans="2:4">
      <c r="B27" s="2">
        <v>6</v>
      </c>
      <c r="C27" s="2" t="s">
        <v>58</v>
      </c>
      <c r="D27" s="2">
        <v>0.75</v>
      </c>
    </row>
    <row r="28" spans="2:4">
      <c r="B28" s="2">
        <v>11</v>
      </c>
      <c r="C28" s="2" t="s">
        <v>56</v>
      </c>
      <c r="D28" s="2">
        <v>0.67</v>
      </c>
    </row>
    <row r="29" spans="2:4">
      <c r="B29" s="2">
        <v>15</v>
      </c>
      <c r="C29" s="2" t="s">
        <v>60</v>
      </c>
      <c r="D29" s="2">
        <v>0.54</v>
      </c>
    </row>
    <row r="30" spans="2:4">
      <c r="B30" s="2">
        <v>26</v>
      </c>
      <c r="C30" s="2" t="s">
        <v>64</v>
      </c>
      <c r="D30" s="2">
        <v>0.52</v>
      </c>
    </row>
    <row r="31" spans="2:4">
      <c r="B31" s="2">
        <v>20</v>
      </c>
      <c r="C31" s="2" t="s">
        <v>62</v>
      </c>
      <c r="D31" s="2">
        <v>0.3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Pivot_Tables</vt:lpstr>
      <vt:lpstr>Branch_Profitability</vt:lpstr>
      <vt:lpstr>Product_Profitability</vt:lpstr>
      <vt:lpstr>Segment_Income</vt:lpstr>
      <vt:lpstr>Region_Profitability</vt:lpstr>
      <vt:lpstr>Income_to_Cost_Ratio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NeneDornu</dc:creator>
  <cp:lastModifiedBy>Hp</cp:lastModifiedBy>
  <dcterms:created xsi:type="dcterms:W3CDTF">2026-02-02T09:32:50Z</dcterms:created>
  <dcterms:modified xsi:type="dcterms:W3CDTF">2026-02-04T03:49:05Z</dcterms:modified>
</cp:coreProperties>
</file>