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Hp\STD\Self Learning\Career Projects\Data Analytics\2Stephen Dugbartey_Bank  Revenue and Profit Analysis\"/>
    </mc:Choice>
  </mc:AlternateContent>
  <bookViews>
    <workbookView xWindow="0" yWindow="0" windowWidth="23040" windowHeight="8496"/>
  </bookViews>
  <sheets>
    <sheet name="summary_income_by_branch" sheetId="1" r:id="rId1"/>
    <sheet name="branch_income_by_product" sheetId="3" r:id="rId2"/>
    <sheet name="branch_cost_by_product" sheetId="2" r:id="rId3"/>
    <sheet name="income_by_segment" sheetId="4" r:id="rId4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0" i="1" l="1"/>
  <c r="J30" i="1"/>
  <c r="H30" i="1"/>
  <c r="F30" i="1"/>
  <c r="L29" i="1"/>
  <c r="J29" i="1"/>
  <c r="H29" i="1"/>
  <c r="F29" i="1"/>
  <c r="L28" i="1"/>
  <c r="J28" i="1"/>
  <c r="H28" i="1"/>
  <c r="F28" i="1"/>
  <c r="L27" i="1"/>
  <c r="J27" i="1"/>
  <c r="H27" i="1"/>
  <c r="F27" i="1"/>
  <c r="L26" i="1"/>
  <c r="J26" i="1"/>
  <c r="H26" i="1"/>
  <c r="F26" i="1"/>
  <c r="L25" i="1"/>
  <c r="J25" i="1"/>
  <c r="H25" i="1"/>
  <c r="F25" i="1"/>
  <c r="L24" i="1"/>
  <c r="J24" i="1"/>
  <c r="H24" i="1"/>
  <c r="F24" i="1"/>
  <c r="L23" i="1"/>
  <c r="J23" i="1"/>
  <c r="H23" i="1"/>
  <c r="F23" i="1"/>
  <c r="L22" i="1"/>
  <c r="J22" i="1"/>
  <c r="H22" i="1"/>
  <c r="F22" i="1"/>
  <c r="L21" i="1"/>
  <c r="J21" i="1"/>
  <c r="H21" i="1"/>
  <c r="F21" i="1"/>
  <c r="L20" i="1"/>
  <c r="J20" i="1"/>
  <c r="H20" i="1"/>
  <c r="F20" i="1"/>
  <c r="L19" i="1"/>
  <c r="J19" i="1"/>
  <c r="H19" i="1"/>
  <c r="F19" i="1"/>
  <c r="L18" i="1"/>
  <c r="J18" i="1"/>
  <c r="H18" i="1"/>
  <c r="F18" i="1"/>
  <c r="L17" i="1"/>
  <c r="J17" i="1"/>
  <c r="H17" i="1"/>
  <c r="F17" i="1"/>
  <c r="L16" i="1"/>
  <c r="J16" i="1"/>
  <c r="H16" i="1"/>
  <c r="F16" i="1"/>
  <c r="L15" i="1"/>
  <c r="J15" i="1"/>
  <c r="H15" i="1"/>
  <c r="F15" i="1"/>
  <c r="L14" i="1"/>
  <c r="J14" i="1"/>
  <c r="H14" i="1"/>
  <c r="F14" i="1"/>
  <c r="L13" i="1"/>
  <c r="J13" i="1"/>
  <c r="H13" i="1"/>
  <c r="F13" i="1"/>
  <c r="L12" i="1"/>
  <c r="J12" i="1"/>
  <c r="H12" i="1"/>
  <c r="F12" i="1"/>
  <c r="L11" i="1"/>
  <c r="J11" i="1"/>
  <c r="H11" i="1"/>
  <c r="F11" i="1"/>
  <c r="L10" i="1"/>
  <c r="J10" i="1"/>
  <c r="H10" i="1"/>
  <c r="F10" i="1"/>
  <c r="L9" i="1"/>
  <c r="J9" i="1"/>
  <c r="H9" i="1"/>
  <c r="F9" i="1"/>
  <c r="L8" i="1"/>
  <c r="J8" i="1"/>
  <c r="H8" i="1"/>
  <c r="F8" i="1"/>
  <c r="L7" i="1"/>
  <c r="J7" i="1"/>
  <c r="H7" i="1"/>
  <c r="F7" i="1"/>
  <c r="L6" i="1"/>
  <c r="J6" i="1"/>
  <c r="H6" i="1"/>
  <c r="F6" i="1"/>
  <c r="L5" i="1"/>
  <c r="J5" i="1"/>
  <c r="H5" i="1"/>
  <c r="F5" i="1"/>
  <c r="L4" i="1"/>
  <c r="J4" i="1"/>
  <c r="H4" i="1"/>
  <c r="F4" i="1"/>
  <c r="L3" i="1"/>
  <c r="J3" i="1"/>
  <c r="H3" i="1"/>
  <c r="F3" i="1"/>
  <c r="L2" i="1"/>
  <c r="J2" i="1"/>
  <c r="H2" i="1"/>
  <c r="F2" i="1"/>
</calcChain>
</file>

<file path=xl/sharedStrings.xml><?xml version="1.0" encoding="utf-8"?>
<sst xmlns="http://schemas.openxmlformats.org/spreadsheetml/2006/main" count="676" uniqueCount="67">
  <si>
    <t>branch_code</t>
  </si>
  <si>
    <t>branch_name</t>
  </si>
  <si>
    <t>reporting_period</t>
  </si>
  <si>
    <t>interest_income</t>
  </si>
  <si>
    <t>interest_expense</t>
  </si>
  <si>
    <t>net_interest_income</t>
  </si>
  <si>
    <t>funds_transfer_pricing (FTP)</t>
  </si>
  <si>
    <t>net_operating_income</t>
  </si>
  <si>
    <t>non_funded_income</t>
  </si>
  <si>
    <t>total_income</t>
  </si>
  <si>
    <t>operating_expense</t>
  </si>
  <si>
    <t>Bow Valley Branch</t>
  </si>
  <si>
    <t>FY2025</t>
  </si>
  <si>
    <t>Calgary Rural Branch</t>
  </si>
  <si>
    <t>Calgary West Branch</t>
  </si>
  <si>
    <t>Calgary South Branch</t>
  </si>
  <si>
    <t>Mosaic Branch</t>
  </si>
  <si>
    <t>Calgary Foothills Branch</t>
  </si>
  <si>
    <t>Lloydminster Branch</t>
  </si>
  <si>
    <t>Wetaskiwin Branch</t>
  </si>
  <si>
    <t>Camrose Branch</t>
  </si>
  <si>
    <t>Drayton Valley Branch</t>
  </si>
  <si>
    <t>Rocky Mountain Branch</t>
  </si>
  <si>
    <t>Red Deer Branch</t>
  </si>
  <si>
    <t>Edmonton North Branch</t>
  </si>
  <si>
    <t>Edmonton South Branch</t>
  </si>
  <si>
    <t>Leduc Branch</t>
  </si>
  <si>
    <t>Sherwood Park Branch</t>
  </si>
  <si>
    <t>St. Albert Branch</t>
  </si>
  <si>
    <t>Northwest Branch</t>
  </si>
  <si>
    <t>Lakeland Branch</t>
  </si>
  <si>
    <t>Bonnyvile Branch</t>
  </si>
  <si>
    <t>Cold Lake Branch</t>
  </si>
  <si>
    <t>Wood Buffalo Branch</t>
  </si>
  <si>
    <t>Grand Prairie Branch</t>
  </si>
  <si>
    <t>Bighorn Branch</t>
  </si>
  <si>
    <t>Aspen Branch</t>
  </si>
  <si>
    <t>Borealis Branch</t>
  </si>
  <si>
    <t>Mcleod River Branch</t>
  </si>
  <si>
    <t>Chinook Branch</t>
  </si>
  <si>
    <t>Palliser Branch</t>
  </si>
  <si>
    <t>net_profit_or_loss</t>
  </si>
  <si>
    <t>GIC_cost</t>
  </si>
  <si>
    <t>line_of_credit_cost</t>
  </si>
  <si>
    <t>credit_card_cost</t>
  </si>
  <si>
    <t>mortgage_cost</t>
  </si>
  <si>
    <t>personal_loan_cost</t>
  </si>
  <si>
    <t>savings_cost</t>
  </si>
  <si>
    <t>checking_cost</t>
  </si>
  <si>
    <t>GIC_income</t>
  </si>
  <si>
    <t>line_of_credit_income</t>
  </si>
  <si>
    <t>credit_card_income</t>
  </si>
  <si>
    <t>mortgage_income</t>
  </si>
  <si>
    <t>personal_loan_income</t>
  </si>
  <si>
    <t>savings_income</t>
  </si>
  <si>
    <t>checking_income</t>
  </si>
  <si>
    <t>SEG4</t>
  </si>
  <si>
    <t>prestige</t>
  </si>
  <si>
    <t>SEG3</t>
  </si>
  <si>
    <t>corporate</t>
  </si>
  <si>
    <t>SEG2</t>
  </si>
  <si>
    <t>SME</t>
  </si>
  <si>
    <t>SEG1</t>
  </si>
  <si>
    <t>retail</t>
  </si>
  <si>
    <t>segment_id</t>
  </si>
  <si>
    <t>segment_income</t>
  </si>
  <si>
    <t>segment_name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</si>
</sst>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_ "/>
  </numFmts>
  <fonts count="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0"/>
  <sheetViews>
    <sheetView tabSelected="1" workbookViewId="0">
      <selection activeCell="C34" sqref="C34"/>
    </sheetView>
  </sheetViews>
  <sheetFormatPr defaultColWidth="9" defaultRowHeight="14.4"/>
  <cols>
    <col min="2" max="2" width="22.88671875" customWidth="1"/>
    <col min="3" max="3" width="16.6640625" customWidth="1"/>
    <col min="4" max="4" width="15.88671875" customWidth="1"/>
    <col min="5" max="5" width="16.6640625" customWidth="1"/>
    <col min="6" max="6" width="20.109375" customWidth="1"/>
    <col min="7" max="8" width="27.44140625" customWidth="1"/>
    <col min="9" max="9" width="20.5546875" customWidth="1"/>
    <col min="10" max="10" width="18.6640625" customWidth="1"/>
    <col min="11" max="12" width="18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41</v>
      </c>
    </row>
    <row r="2" spans="1:12">
      <c r="A2">
        <v>1</v>
      </c>
      <c r="B2" t="s">
        <v>11</v>
      </c>
      <c r="C2" t="s">
        <v>12</v>
      </c>
      <c r="D2">
        <v>1561442.27</v>
      </c>
      <c r="E2">
        <v>806835.95</v>
      </c>
      <c r="F2">
        <f>D2-E2</f>
        <v>754606.32</v>
      </c>
      <c r="G2">
        <v>354245.12</v>
      </c>
      <c r="H2">
        <f>F2+G2</f>
        <v>1108851.44</v>
      </c>
      <c r="I2">
        <v>804022.76</v>
      </c>
      <c r="J2">
        <f>H2+I2</f>
        <v>1912874.2</v>
      </c>
      <c r="K2">
        <v>2166382.1800000002</v>
      </c>
      <c r="L2">
        <f>J2-K2</f>
        <v>-253507.98</v>
      </c>
    </row>
    <row r="3" spans="1:12">
      <c r="A3">
        <v>2</v>
      </c>
      <c r="B3" t="s">
        <v>13</v>
      </c>
      <c r="C3" t="s">
        <v>12</v>
      </c>
      <c r="D3">
        <v>2886642.9</v>
      </c>
      <c r="E3">
        <v>2097353.16</v>
      </c>
      <c r="F3">
        <f t="shared" ref="F3:F30" si="0">D3-E3</f>
        <v>789289.74</v>
      </c>
      <c r="G3">
        <v>468824.17</v>
      </c>
      <c r="H3">
        <f t="shared" ref="H3:H30" si="1">F3+G3</f>
        <v>1258113.9099999999</v>
      </c>
      <c r="I3">
        <v>1448259.76</v>
      </c>
      <c r="J3">
        <f t="shared" ref="J3:J30" si="2">H3+I3</f>
        <v>2706373.67</v>
      </c>
      <c r="K3">
        <v>2740589.31</v>
      </c>
      <c r="L3">
        <f t="shared" ref="L3:L30" si="3">J3-K3</f>
        <v>-34215.640000000101</v>
      </c>
    </row>
    <row r="4" spans="1:12">
      <c r="A4">
        <v>3</v>
      </c>
      <c r="B4" t="s">
        <v>14</v>
      </c>
      <c r="C4" t="s">
        <v>12</v>
      </c>
      <c r="D4">
        <v>2383586.0699999998</v>
      </c>
      <c r="E4">
        <v>1092205.48</v>
      </c>
      <c r="F4">
        <f t="shared" si="0"/>
        <v>1291380.5900000001</v>
      </c>
      <c r="G4">
        <v>144038.10999999999</v>
      </c>
      <c r="H4">
        <f t="shared" si="1"/>
        <v>1435418.7</v>
      </c>
      <c r="I4">
        <v>1593957.77</v>
      </c>
      <c r="J4">
        <f t="shared" si="2"/>
        <v>3029376.47</v>
      </c>
      <c r="K4">
        <v>1786094.33</v>
      </c>
      <c r="L4">
        <f t="shared" si="3"/>
        <v>1243282.1399999999</v>
      </c>
    </row>
    <row r="5" spans="1:12">
      <c r="A5">
        <v>4</v>
      </c>
      <c r="B5" t="s">
        <v>15</v>
      </c>
      <c r="C5" t="s">
        <v>12</v>
      </c>
      <c r="D5">
        <v>2076914.51</v>
      </c>
      <c r="E5">
        <v>849618.66</v>
      </c>
      <c r="F5">
        <f t="shared" si="0"/>
        <v>1227295.8500000001</v>
      </c>
      <c r="G5">
        <v>394689.14</v>
      </c>
      <c r="H5">
        <f t="shared" si="1"/>
        <v>1621984.99</v>
      </c>
      <c r="I5">
        <v>1324102.77</v>
      </c>
      <c r="J5">
        <f t="shared" si="2"/>
        <v>2946087.76</v>
      </c>
      <c r="K5">
        <v>975066.77</v>
      </c>
      <c r="L5">
        <f t="shared" si="3"/>
        <v>1971020.99</v>
      </c>
    </row>
    <row r="6" spans="1:12">
      <c r="A6">
        <v>5</v>
      </c>
      <c r="B6" t="s">
        <v>16</v>
      </c>
      <c r="C6" t="s">
        <v>12</v>
      </c>
      <c r="D6">
        <v>1058842.8700000001</v>
      </c>
      <c r="E6">
        <v>882436.74</v>
      </c>
      <c r="F6">
        <f t="shared" si="0"/>
        <v>176406.13</v>
      </c>
      <c r="G6">
        <v>218394.25</v>
      </c>
      <c r="H6">
        <f t="shared" si="1"/>
        <v>394800.38</v>
      </c>
      <c r="I6">
        <v>2606096.27</v>
      </c>
      <c r="J6">
        <f t="shared" si="2"/>
        <v>3000896.65</v>
      </c>
      <c r="K6">
        <v>2340463.0099999998</v>
      </c>
      <c r="L6">
        <f t="shared" si="3"/>
        <v>660433.64000000095</v>
      </c>
    </row>
    <row r="7" spans="1:12">
      <c r="A7">
        <v>6</v>
      </c>
      <c r="B7" t="s">
        <v>17</v>
      </c>
      <c r="C7" t="s">
        <v>12</v>
      </c>
      <c r="D7">
        <v>1058787.3999999999</v>
      </c>
      <c r="E7">
        <v>920953.68</v>
      </c>
      <c r="F7">
        <f t="shared" si="0"/>
        <v>137833.72</v>
      </c>
      <c r="G7">
        <v>185747.63</v>
      </c>
      <c r="H7">
        <f t="shared" si="1"/>
        <v>323581.34999999998</v>
      </c>
      <c r="I7">
        <v>1520532.65</v>
      </c>
      <c r="J7">
        <f t="shared" si="2"/>
        <v>1844114</v>
      </c>
      <c r="K7">
        <v>2449805.61</v>
      </c>
      <c r="L7">
        <f t="shared" si="3"/>
        <v>-605691.61</v>
      </c>
    </row>
    <row r="8" spans="1:12">
      <c r="A8">
        <v>7</v>
      </c>
      <c r="B8" t="s">
        <v>18</v>
      </c>
      <c r="C8" t="s">
        <v>12</v>
      </c>
      <c r="D8">
        <v>833592.31</v>
      </c>
      <c r="E8">
        <v>559313.9</v>
      </c>
      <c r="F8">
        <f t="shared" si="0"/>
        <v>274278.40999999997</v>
      </c>
      <c r="G8">
        <v>457006.36</v>
      </c>
      <c r="H8">
        <f t="shared" si="1"/>
        <v>731284.77</v>
      </c>
      <c r="I8">
        <v>1346149.37</v>
      </c>
      <c r="J8">
        <f t="shared" si="2"/>
        <v>2077434.14</v>
      </c>
      <c r="K8">
        <v>1990937.55</v>
      </c>
      <c r="L8">
        <f t="shared" si="3"/>
        <v>86496.590000000098</v>
      </c>
    </row>
    <row r="9" spans="1:12">
      <c r="A9">
        <v>8</v>
      </c>
      <c r="B9" t="s">
        <v>19</v>
      </c>
      <c r="C9" t="s">
        <v>12</v>
      </c>
      <c r="D9">
        <v>2692205.14</v>
      </c>
      <c r="E9">
        <v>1400611.67</v>
      </c>
      <c r="F9">
        <f t="shared" si="0"/>
        <v>1291593.47</v>
      </c>
      <c r="G9">
        <v>223492.77</v>
      </c>
      <c r="H9">
        <f t="shared" si="1"/>
        <v>1515086.24</v>
      </c>
      <c r="I9">
        <v>1948200.99</v>
      </c>
      <c r="J9">
        <f t="shared" si="2"/>
        <v>3463287.23</v>
      </c>
      <c r="K9">
        <v>2473224.5099999998</v>
      </c>
      <c r="L9">
        <f t="shared" si="3"/>
        <v>990062.72000000102</v>
      </c>
    </row>
    <row r="10" spans="1:12">
      <c r="A10">
        <v>9</v>
      </c>
      <c r="B10" t="s">
        <v>20</v>
      </c>
      <c r="C10" t="s">
        <v>12</v>
      </c>
      <c r="D10">
        <v>2082564.53</v>
      </c>
      <c r="E10">
        <v>924645.86</v>
      </c>
      <c r="F10">
        <f t="shared" si="0"/>
        <v>1157918.67</v>
      </c>
      <c r="G10">
        <v>136421</v>
      </c>
      <c r="H10">
        <f t="shared" si="1"/>
        <v>1294339.67</v>
      </c>
      <c r="I10">
        <v>1024125.72</v>
      </c>
      <c r="J10">
        <f t="shared" si="2"/>
        <v>2318465.39</v>
      </c>
      <c r="K10">
        <v>1835729.87</v>
      </c>
      <c r="L10">
        <f t="shared" si="3"/>
        <v>482735.52</v>
      </c>
    </row>
    <row r="11" spans="1:12">
      <c r="A11">
        <v>10</v>
      </c>
      <c r="B11" t="s">
        <v>21</v>
      </c>
      <c r="C11" t="s">
        <v>12</v>
      </c>
      <c r="D11">
        <v>2328566.9300000002</v>
      </c>
      <c r="E11">
        <v>2273735.96</v>
      </c>
      <c r="F11">
        <f t="shared" si="0"/>
        <v>54830.970000000198</v>
      </c>
      <c r="G11">
        <v>301177</v>
      </c>
      <c r="H11">
        <f t="shared" si="1"/>
        <v>356007.97</v>
      </c>
      <c r="I11">
        <v>2545053.06</v>
      </c>
      <c r="J11">
        <f t="shared" si="2"/>
        <v>2901061.03</v>
      </c>
      <c r="K11">
        <v>1902285.51</v>
      </c>
      <c r="L11">
        <f t="shared" si="3"/>
        <v>998775.52</v>
      </c>
    </row>
    <row r="12" spans="1:12">
      <c r="A12">
        <v>11</v>
      </c>
      <c r="B12" t="s">
        <v>22</v>
      </c>
      <c r="C12" t="s">
        <v>12</v>
      </c>
      <c r="D12">
        <v>747344.34</v>
      </c>
      <c r="E12">
        <v>712350.74</v>
      </c>
      <c r="F12">
        <f t="shared" si="0"/>
        <v>34993.599999999999</v>
      </c>
      <c r="G12">
        <v>220627</v>
      </c>
      <c r="H12">
        <f t="shared" si="1"/>
        <v>255620.6</v>
      </c>
      <c r="I12">
        <v>871466.48</v>
      </c>
      <c r="J12">
        <f t="shared" si="2"/>
        <v>1127087.08</v>
      </c>
      <c r="K12">
        <v>1683344.34</v>
      </c>
      <c r="L12">
        <f t="shared" si="3"/>
        <v>-556257.26</v>
      </c>
    </row>
    <row r="13" spans="1:12">
      <c r="A13">
        <v>12</v>
      </c>
      <c r="B13" t="s">
        <v>23</v>
      </c>
      <c r="C13" t="s">
        <v>12</v>
      </c>
      <c r="D13">
        <v>2930792.66</v>
      </c>
      <c r="E13">
        <v>980687.94</v>
      </c>
      <c r="F13">
        <f t="shared" si="0"/>
        <v>1950104.72</v>
      </c>
      <c r="G13">
        <v>452912.66</v>
      </c>
      <c r="H13">
        <f t="shared" si="1"/>
        <v>2403017.38</v>
      </c>
      <c r="I13">
        <v>2969839.95</v>
      </c>
      <c r="J13">
        <f t="shared" si="2"/>
        <v>5372857.3300000001</v>
      </c>
      <c r="K13">
        <v>758463.99</v>
      </c>
      <c r="L13">
        <f t="shared" si="3"/>
        <v>4614393.34</v>
      </c>
    </row>
    <row r="14" spans="1:12">
      <c r="A14">
        <v>13</v>
      </c>
      <c r="B14" t="s">
        <v>24</v>
      </c>
      <c r="C14" t="s">
        <v>12</v>
      </c>
      <c r="D14">
        <v>2614618.0699999998</v>
      </c>
      <c r="E14">
        <v>1838906.89</v>
      </c>
      <c r="F14">
        <f t="shared" si="0"/>
        <v>775711.18</v>
      </c>
      <c r="G14">
        <v>249669</v>
      </c>
      <c r="H14">
        <f t="shared" si="1"/>
        <v>1025380.18</v>
      </c>
      <c r="I14">
        <v>2476162.9700000002</v>
      </c>
      <c r="J14">
        <f t="shared" si="2"/>
        <v>3501543.15</v>
      </c>
      <c r="K14">
        <v>948150.28</v>
      </c>
      <c r="L14">
        <f t="shared" si="3"/>
        <v>2553392.87</v>
      </c>
    </row>
    <row r="15" spans="1:12">
      <c r="A15">
        <v>14</v>
      </c>
      <c r="B15" t="s">
        <v>25</v>
      </c>
      <c r="C15" t="s">
        <v>12</v>
      </c>
      <c r="D15">
        <v>1188379.95</v>
      </c>
      <c r="E15">
        <v>779093.6</v>
      </c>
      <c r="F15">
        <f t="shared" si="0"/>
        <v>409286.35</v>
      </c>
      <c r="G15">
        <v>478307</v>
      </c>
      <c r="H15">
        <f t="shared" si="1"/>
        <v>887593.35</v>
      </c>
      <c r="I15">
        <v>1157046.07</v>
      </c>
      <c r="J15">
        <f t="shared" si="2"/>
        <v>2044639.42</v>
      </c>
      <c r="K15">
        <v>772287.13</v>
      </c>
      <c r="L15">
        <f t="shared" si="3"/>
        <v>1272352.29</v>
      </c>
    </row>
    <row r="16" spans="1:12">
      <c r="A16">
        <v>15</v>
      </c>
      <c r="B16" t="s">
        <v>26</v>
      </c>
      <c r="C16" t="s">
        <v>12</v>
      </c>
      <c r="D16">
        <v>1118197.42</v>
      </c>
      <c r="E16">
        <v>791436.92</v>
      </c>
      <c r="F16">
        <f t="shared" si="0"/>
        <v>326760.5</v>
      </c>
      <c r="G16">
        <v>129660.1</v>
      </c>
      <c r="H16">
        <f t="shared" si="1"/>
        <v>456420.6</v>
      </c>
      <c r="I16">
        <v>712700.87</v>
      </c>
      <c r="J16">
        <f t="shared" si="2"/>
        <v>1169121.47</v>
      </c>
      <c r="K16">
        <v>2163743.9500000002</v>
      </c>
      <c r="L16">
        <f t="shared" si="3"/>
        <v>-994622.48</v>
      </c>
    </row>
    <row r="17" spans="1:12">
      <c r="A17">
        <v>16</v>
      </c>
      <c r="B17" t="s">
        <v>27</v>
      </c>
      <c r="C17" t="s">
        <v>12</v>
      </c>
      <c r="D17">
        <v>1121830.3700000001</v>
      </c>
      <c r="E17">
        <v>295193.96000000002</v>
      </c>
      <c r="F17">
        <f t="shared" si="0"/>
        <v>826636.41</v>
      </c>
      <c r="G17">
        <v>208216</v>
      </c>
      <c r="H17">
        <f t="shared" si="1"/>
        <v>1034852.41</v>
      </c>
      <c r="I17">
        <v>2575561.29</v>
      </c>
      <c r="J17">
        <f t="shared" si="2"/>
        <v>3610413.7</v>
      </c>
      <c r="K17">
        <v>1423018.76</v>
      </c>
      <c r="L17">
        <f t="shared" si="3"/>
        <v>2187394.94</v>
      </c>
    </row>
    <row r="18" spans="1:12">
      <c r="A18">
        <v>17</v>
      </c>
      <c r="B18" t="s">
        <v>28</v>
      </c>
      <c r="C18" t="s">
        <v>12</v>
      </c>
      <c r="D18">
        <v>1399757.16</v>
      </c>
      <c r="E18">
        <v>223801.25</v>
      </c>
      <c r="F18">
        <f t="shared" si="0"/>
        <v>1175955.9099999999</v>
      </c>
      <c r="G18">
        <v>489610</v>
      </c>
      <c r="H18">
        <f t="shared" si="1"/>
        <v>1665565.91</v>
      </c>
      <c r="I18">
        <v>2325771.89</v>
      </c>
      <c r="J18">
        <f t="shared" si="2"/>
        <v>3991337.8</v>
      </c>
      <c r="K18">
        <v>1869712.59</v>
      </c>
      <c r="L18">
        <f t="shared" si="3"/>
        <v>2121625.21</v>
      </c>
    </row>
    <row r="19" spans="1:12">
      <c r="A19">
        <v>18</v>
      </c>
      <c r="B19" t="s">
        <v>29</v>
      </c>
      <c r="C19" t="s">
        <v>12</v>
      </c>
      <c r="D19">
        <v>1906939.79</v>
      </c>
      <c r="E19">
        <v>1416935.48</v>
      </c>
      <c r="F19">
        <f t="shared" si="0"/>
        <v>490004.31</v>
      </c>
      <c r="G19">
        <v>473611</v>
      </c>
      <c r="H19">
        <f t="shared" si="1"/>
        <v>963615.31</v>
      </c>
      <c r="I19">
        <v>2376716.4900000002</v>
      </c>
      <c r="J19">
        <f t="shared" si="2"/>
        <v>3340331.8</v>
      </c>
      <c r="K19">
        <v>2787402.89</v>
      </c>
      <c r="L19">
        <f t="shared" si="3"/>
        <v>552928.91</v>
      </c>
    </row>
    <row r="20" spans="1:12">
      <c r="A20">
        <v>19</v>
      </c>
      <c r="B20" t="s">
        <v>30</v>
      </c>
      <c r="C20" t="s">
        <v>12</v>
      </c>
      <c r="D20">
        <v>1693473.54</v>
      </c>
      <c r="E20">
        <v>1896156.45</v>
      </c>
      <c r="F20">
        <f t="shared" si="0"/>
        <v>-202682.91</v>
      </c>
      <c r="G20">
        <v>315376</v>
      </c>
      <c r="H20">
        <f t="shared" si="1"/>
        <v>112693.09</v>
      </c>
      <c r="I20">
        <v>2473921.7999999998</v>
      </c>
      <c r="J20">
        <f t="shared" si="2"/>
        <v>2586614.89</v>
      </c>
      <c r="K20">
        <v>1273372.1299999999</v>
      </c>
      <c r="L20">
        <f t="shared" si="3"/>
        <v>1313242.76</v>
      </c>
    </row>
    <row r="21" spans="1:12">
      <c r="A21">
        <v>20</v>
      </c>
      <c r="B21" t="s">
        <v>31</v>
      </c>
      <c r="C21" t="s">
        <v>12</v>
      </c>
      <c r="D21">
        <v>1369827.02</v>
      </c>
      <c r="E21">
        <v>1957433.64</v>
      </c>
      <c r="F21">
        <f t="shared" si="0"/>
        <v>-587606.62</v>
      </c>
      <c r="G21">
        <v>217551</v>
      </c>
      <c r="H21">
        <f t="shared" si="1"/>
        <v>-370055.62</v>
      </c>
      <c r="I21">
        <v>870302.7</v>
      </c>
      <c r="J21">
        <f t="shared" si="2"/>
        <v>500247.08</v>
      </c>
      <c r="K21">
        <v>1643880.72</v>
      </c>
      <c r="L21">
        <f t="shared" si="3"/>
        <v>-1143633.6399999999</v>
      </c>
    </row>
    <row r="22" spans="1:12">
      <c r="A22">
        <v>21</v>
      </c>
      <c r="B22" t="s">
        <v>32</v>
      </c>
      <c r="C22" t="s">
        <v>12</v>
      </c>
      <c r="D22">
        <v>2107261.66</v>
      </c>
      <c r="E22">
        <v>1125165.25</v>
      </c>
      <c r="F22">
        <f t="shared" si="0"/>
        <v>982096.41</v>
      </c>
      <c r="G22">
        <v>103377</v>
      </c>
      <c r="H22">
        <f t="shared" si="1"/>
        <v>1085473.4099999999</v>
      </c>
      <c r="I22">
        <v>1524471.18</v>
      </c>
      <c r="J22">
        <f t="shared" si="2"/>
        <v>2609944.59</v>
      </c>
      <c r="K22">
        <v>2437767.62</v>
      </c>
      <c r="L22">
        <f t="shared" si="3"/>
        <v>172176.97</v>
      </c>
    </row>
    <row r="23" spans="1:12">
      <c r="A23">
        <v>22</v>
      </c>
      <c r="B23" t="s">
        <v>33</v>
      </c>
      <c r="C23" t="s">
        <v>12</v>
      </c>
      <c r="D23">
        <v>1020835.88</v>
      </c>
      <c r="E23">
        <v>930044.64</v>
      </c>
      <c r="F23">
        <f t="shared" si="0"/>
        <v>90791.24</v>
      </c>
      <c r="G23">
        <v>282649</v>
      </c>
      <c r="H23">
        <f t="shared" si="1"/>
        <v>373440.24</v>
      </c>
      <c r="I23">
        <v>966498.84</v>
      </c>
      <c r="J23">
        <f t="shared" si="2"/>
        <v>1339939.08</v>
      </c>
      <c r="K23">
        <v>1226235.78</v>
      </c>
      <c r="L23">
        <f t="shared" si="3"/>
        <v>113703.3</v>
      </c>
    </row>
    <row r="24" spans="1:12">
      <c r="A24">
        <v>23</v>
      </c>
      <c r="B24" t="s">
        <v>34</v>
      </c>
      <c r="C24" t="s">
        <v>12</v>
      </c>
      <c r="D24">
        <v>1371932.69</v>
      </c>
      <c r="E24">
        <v>482805.49</v>
      </c>
      <c r="F24">
        <f t="shared" si="0"/>
        <v>889127.2</v>
      </c>
      <c r="G24">
        <v>204374</v>
      </c>
      <c r="H24">
        <f t="shared" si="1"/>
        <v>1093501.2</v>
      </c>
      <c r="I24">
        <v>2685137.88</v>
      </c>
      <c r="J24">
        <f t="shared" si="2"/>
        <v>3778639.08</v>
      </c>
      <c r="K24">
        <v>877053.79</v>
      </c>
      <c r="L24">
        <f t="shared" si="3"/>
        <v>2901585.29</v>
      </c>
    </row>
    <row r="25" spans="1:12">
      <c r="A25">
        <v>24</v>
      </c>
      <c r="B25" t="s">
        <v>35</v>
      </c>
      <c r="C25" t="s">
        <v>12</v>
      </c>
      <c r="D25">
        <v>1542632.24</v>
      </c>
      <c r="E25">
        <v>860847.57</v>
      </c>
      <c r="F25">
        <f t="shared" si="0"/>
        <v>681784.67</v>
      </c>
      <c r="G25">
        <v>282336</v>
      </c>
      <c r="H25">
        <f t="shared" si="1"/>
        <v>964120.67</v>
      </c>
      <c r="I25">
        <v>2133585.69</v>
      </c>
      <c r="J25">
        <f t="shared" si="2"/>
        <v>3097706.36</v>
      </c>
      <c r="K25">
        <v>1366428.34</v>
      </c>
      <c r="L25">
        <f t="shared" si="3"/>
        <v>1731278.02</v>
      </c>
    </row>
    <row r="26" spans="1:12">
      <c r="A26">
        <v>25</v>
      </c>
      <c r="B26" t="s">
        <v>36</v>
      </c>
      <c r="C26" t="s">
        <v>12</v>
      </c>
      <c r="D26">
        <v>1748960.96</v>
      </c>
      <c r="E26">
        <v>758102.91</v>
      </c>
      <c r="F26">
        <f t="shared" si="0"/>
        <v>990858.05</v>
      </c>
      <c r="G26">
        <v>293130</v>
      </c>
      <c r="H26">
        <f t="shared" si="1"/>
        <v>1283988.05</v>
      </c>
      <c r="I26">
        <v>1461065.46</v>
      </c>
      <c r="J26">
        <f t="shared" si="2"/>
        <v>2745053.51</v>
      </c>
      <c r="K26">
        <v>1070808.96</v>
      </c>
      <c r="L26">
        <f t="shared" si="3"/>
        <v>1674244.55</v>
      </c>
    </row>
    <row r="27" spans="1:12">
      <c r="A27">
        <v>26</v>
      </c>
      <c r="B27" t="s">
        <v>37</v>
      </c>
      <c r="C27" t="s">
        <v>12</v>
      </c>
      <c r="D27">
        <v>2505904.71</v>
      </c>
      <c r="E27">
        <v>2075169.95</v>
      </c>
      <c r="F27">
        <f t="shared" si="0"/>
        <v>430734.76</v>
      </c>
      <c r="G27">
        <v>204593</v>
      </c>
      <c r="H27">
        <f t="shared" si="1"/>
        <v>635327.76</v>
      </c>
      <c r="I27">
        <v>846184.21</v>
      </c>
      <c r="J27">
        <f t="shared" si="2"/>
        <v>1481511.97</v>
      </c>
      <c r="K27">
        <v>2838304.6</v>
      </c>
      <c r="L27">
        <f t="shared" si="3"/>
        <v>-1356792.63</v>
      </c>
    </row>
    <row r="28" spans="1:12">
      <c r="A28">
        <v>27</v>
      </c>
      <c r="B28" t="s">
        <v>38</v>
      </c>
      <c r="C28" t="s">
        <v>12</v>
      </c>
      <c r="D28">
        <v>1159249.7</v>
      </c>
      <c r="E28">
        <v>820310.74</v>
      </c>
      <c r="F28">
        <f t="shared" si="0"/>
        <v>338938.96</v>
      </c>
      <c r="G28">
        <v>408856</v>
      </c>
      <c r="H28">
        <f t="shared" si="1"/>
        <v>747794.96</v>
      </c>
      <c r="I28">
        <v>1415259.34</v>
      </c>
      <c r="J28">
        <f t="shared" si="2"/>
        <v>2163054.2999999998</v>
      </c>
      <c r="K28">
        <v>2558676.87</v>
      </c>
      <c r="L28">
        <f t="shared" si="3"/>
        <v>-395622.57</v>
      </c>
    </row>
    <row r="29" spans="1:12">
      <c r="A29">
        <v>28</v>
      </c>
      <c r="B29" t="s">
        <v>39</v>
      </c>
      <c r="C29" t="s">
        <v>12</v>
      </c>
      <c r="D29">
        <v>1882739.21</v>
      </c>
      <c r="E29">
        <v>903532.75</v>
      </c>
      <c r="F29">
        <f t="shared" si="0"/>
        <v>979206.46</v>
      </c>
      <c r="G29">
        <v>245380</v>
      </c>
      <c r="H29">
        <f t="shared" si="1"/>
        <v>1224586.46</v>
      </c>
      <c r="I29">
        <v>1447921.64</v>
      </c>
      <c r="J29">
        <f t="shared" si="2"/>
        <v>2672508.1</v>
      </c>
      <c r="K29">
        <v>2156828.64</v>
      </c>
      <c r="L29">
        <f t="shared" si="3"/>
        <v>515679.45999999897</v>
      </c>
    </row>
    <row r="30" spans="1:12">
      <c r="A30">
        <v>29</v>
      </c>
      <c r="B30" t="s">
        <v>40</v>
      </c>
      <c r="C30" t="s">
        <v>12</v>
      </c>
      <c r="D30">
        <v>2062553.51</v>
      </c>
      <c r="E30">
        <v>1150760.58</v>
      </c>
      <c r="F30">
        <f t="shared" si="0"/>
        <v>911792.93</v>
      </c>
      <c r="G30">
        <v>118111</v>
      </c>
      <c r="H30">
        <f t="shared" si="1"/>
        <v>1029903.93</v>
      </c>
      <c r="I30">
        <v>2378094.21</v>
      </c>
      <c r="J30">
        <f t="shared" si="2"/>
        <v>3407998.14</v>
      </c>
      <c r="K30">
        <v>2704359.36</v>
      </c>
      <c r="L30">
        <f t="shared" si="3"/>
        <v>703638.78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"/>
  <sheetViews>
    <sheetView workbookViewId="0">
      <selection activeCell="C35" sqref="C35"/>
    </sheetView>
  </sheetViews>
  <sheetFormatPr defaultColWidth="9" defaultRowHeight="14.4"/>
  <cols>
    <col min="2" max="2" width="22.88671875" customWidth="1"/>
    <col min="3" max="3" width="16.6640625" customWidth="1"/>
    <col min="4" max="4" width="15.88671875" customWidth="1"/>
    <col min="5" max="5" width="17.109375" customWidth="1"/>
    <col min="6" max="6" width="22.109375" customWidth="1"/>
    <col min="7" max="7" width="17.109375" customWidth="1"/>
    <col min="8" max="8" width="19.44140625" customWidth="1"/>
    <col min="9" max="9" width="21.77734375" customWidth="1"/>
    <col min="10" max="10" width="12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55</v>
      </c>
      <c r="E1" s="1" t="s">
        <v>54</v>
      </c>
      <c r="F1" s="1" t="s">
        <v>53</v>
      </c>
      <c r="G1" s="1" t="s">
        <v>52</v>
      </c>
      <c r="H1" s="1" t="s">
        <v>51</v>
      </c>
      <c r="I1" s="1" t="s">
        <v>50</v>
      </c>
      <c r="J1" s="1" t="s">
        <v>49</v>
      </c>
    </row>
    <row r="2" spans="1:10">
      <c r="A2">
        <v>1</v>
      </c>
      <c r="B2" t="s">
        <v>11</v>
      </c>
      <c r="C2" t="s">
        <v>12</v>
      </c>
      <c r="D2" s="2">
        <v>153029.93599999999</v>
      </c>
      <c r="E2" s="2">
        <v>19128.741999999998</v>
      </c>
      <c r="F2" s="2">
        <v>210416.16200000001</v>
      </c>
      <c r="G2" s="2">
        <v>650377.228</v>
      </c>
      <c r="H2" s="2">
        <v>191287.42</v>
      </c>
      <c r="I2" s="2">
        <v>172158.67800000001</v>
      </c>
      <c r="J2" s="2">
        <v>38257.483999999997</v>
      </c>
    </row>
    <row r="3" spans="1:10">
      <c r="A3">
        <v>2</v>
      </c>
      <c r="B3" t="s">
        <v>13</v>
      </c>
      <c r="C3" t="s">
        <v>12</v>
      </c>
      <c r="D3" s="2">
        <v>216509.89360000001</v>
      </c>
      <c r="E3" s="2">
        <v>27063.736700000001</v>
      </c>
      <c r="F3" s="2">
        <v>297701.10369999998</v>
      </c>
      <c r="G3" s="2">
        <v>920167.04779999994</v>
      </c>
      <c r="H3" s="2">
        <v>270637.36700000003</v>
      </c>
      <c r="I3" s="2">
        <v>243573.63029999999</v>
      </c>
      <c r="J3" s="2">
        <v>54127.473400000003</v>
      </c>
    </row>
    <row r="4" spans="1:10">
      <c r="A4">
        <v>3</v>
      </c>
      <c r="B4" t="s">
        <v>14</v>
      </c>
      <c r="C4" t="s">
        <v>12</v>
      </c>
      <c r="D4" s="2">
        <v>242350.1176</v>
      </c>
      <c r="E4" s="2">
        <v>30293.7647</v>
      </c>
      <c r="F4" s="2">
        <v>333231.4117</v>
      </c>
      <c r="G4" s="2">
        <v>1029987.9998</v>
      </c>
      <c r="H4" s="2">
        <v>302937.647</v>
      </c>
      <c r="I4" s="2">
        <v>272643.8823</v>
      </c>
      <c r="J4" s="2">
        <v>60587.529399999999</v>
      </c>
    </row>
    <row r="5" spans="1:10">
      <c r="A5">
        <v>4</v>
      </c>
      <c r="B5" t="s">
        <v>15</v>
      </c>
      <c r="C5" t="s">
        <v>12</v>
      </c>
      <c r="D5" s="2">
        <v>235687.0208</v>
      </c>
      <c r="E5" s="2">
        <v>29460.8776</v>
      </c>
      <c r="F5" s="2">
        <v>324069.65360000002</v>
      </c>
      <c r="G5" s="2">
        <v>1001669.8384</v>
      </c>
      <c r="H5" s="2">
        <v>294608.77600000001</v>
      </c>
      <c r="I5" s="2">
        <v>265147.89840000001</v>
      </c>
      <c r="J5" s="2">
        <v>58921.7552</v>
      </c>
    </row>
    <row r="6" spans="1:10">
      <c r="A6">
        <v>5</v>
      </c>
      <c r="B6" t="s">
        <v>16</v>
      </c>
      <c r="C6" t="s">
        <v>12</v>
      </c>
      <c r="D6" s="2">
        <v>240071.73199999999</v>
      </c>
      <c r="E6" s="2">
        <v>30008.966499999999</v>
      </c>
      <c r="F6" s="2">
        <v>330098.63150000002</v>
      </c>
      <c r="G6" s="2">
        <v>1020304.861</v>
      </c>
      <c r="H6" s="2">
        <v>300089.66499999998</v>
      </c>
      <c r="I6" s="2">
        <v>270080.6985</v>
      </c>
      <c r="J6" s="2">
        <v>60017.932999999997</v>
      </c>
    </row>
    <row r="7" spans="1:10">
      <c r="A7">
        <v>6</v>
      </c>
      <c r="B7" t="s">
        <v>17</v>
      </c>
      <c r="C7" t="s">
        <v>12</v>
      </c>
      <c r="D7" s="2">
        <v>147529.12</v>
      </c>
      <c r="E7" s="2">
        <v>18441.14</v>
      </c>
      <c r="F7" s="2">
        <v>202852.54</v>
      </c>
      <c r="G7" s="2">
        <v>626998.76</v>
      </c>
      <c r="H7" s="2">
        <v>184411.4</v>
      </c>
      <c r="I7" s="2">
        <v>165970.26</v>
      </c>
      <c r="J7" s="2">
        <v>36882.28</v>
      </c>
    </row>
    <row r="8" spans="1:10">
      <c r="A8">
        <v>7</v>
      </c>
      <c r="B8" t="s">
        <v>18</v>
      </c>
      <c r="C8" t="s">
        <v>12</v>
      </c>
      <c r="D8" s="2">
        <v>166194.73120000001</v>
      </c>
      <c r="E8" s="2">
        <v>20774.341400000001</v>
      </c>
      <c r="F8" s="2">
        <v>228517.75539999999</v>
      </c>
      <c r="G8" s="2">
        <v>706327.60759999999</v>
      </c>
      <c r="H8" s="2">
        <v>207743.41399999999</v>
      </c>
      <c r="I8" s="2">
        <v>186969.07260000001</v>
      </c>
      <c r="J8" s="2">
        <v>41548.682800000002</v>
      </c>
    </row>
    <row r="9" spans="1:10">
      <c r="A9">
        <v>8</v>
      </c>
      <c r="B9" t="s">
        <v>19</v>
      </c>
      <c r="C9" t="s">
        <v>12</v>
      </c>
      <c r="D9" s="2">
        <v>277062.97840000002</v>
      </c>
      <c r="E9" s="2">
        <v>34632.872300000003</v>
      </c>
      <c r="F9" s="2">
        <v>380961.59529999999</v>
      </c>
      <c r="G9" s="2">
        <v>1177517.6581999999</v>
      </c>
      <c r="H9" s="2">
        <v>346328.723</v>
      </c>
      <c r="I9" s="2">
        <v>311695.85070000001</v>
      </c>
      <c r="J9" s="2">
        <v>69265.744600000005</v>
      </c>
    </row>
    <row r="10" spans="1:10">
      <c r="A10">
        <v>9</v>
      </c>
      <c r="B10" t="s">
        <v>20</v>
      </c>
      <c r="C10" t="s">
        <v>12</v>
      </c>
      <c r="D10" s="2">
        <v>185477.23120000001</v>
      </c>
      <c r="E10" s="2">
        <v>23184.653900000001</v>
      </c>
      <c r="F10" s="2">
        <v>255031.19289999999</v>
      </c>
      <c r="G10" s="2">
        <v>788278.23259999999</v>
      </c>
      <c r="H10" s="2">
        <v>231846.53899999999</v>
      </c>
      <c r="I10" s="2">
        <v>208661.88510000001</v>
      </c>
      <c r="J10" s="2">
        <v>46369.307800000002</v>
      </c>
    </row>
    <row r="11" spans="1:10">
      <c r="A11">
        <v>10</v>
      </c>
      <c r="B11" t="s">
        <v>21</v>
      </c>
      <c r="C11" t="s">
        <v>12</v>
      </c>
      <c r="D11" s="2">
        <v>232084.8824</v>
      </c>
      <c r="E11" s="2">
        <v>29010.6103</v>
      </c>
      <c r="F11" s="2">
        <v>319116.7133</v>
      </c>
      <c r="G11" s="2">
        <v>986360.75020000001</v>
      </c>
      <c r="H11" s="2">
        <v>290106.103</v>
      </c>
      <c r="I11" s="2">
        <v>261095.4927</v>
      </c>
      <c r="J11" s="2">
        <v>58021.220600000001</v>
      </c>
    </row>
    <row r="12" spans="1:10">
      <c r="A12">
        <v>11</v>
      </c>
      <c r="B12" t="s">
        <v>22</v>
      </c>
      <c r="C12" t="s">
        <v>12</v>
      </c>
      <c r="D12" s="2">
        <v>90166.966400000005</v>
      </c>
      <c r="E12" s="2">
        <v>11270.870800000001</v>
      </c>
      <c r="F12" s="2">
        <v>123979.5788</v>
      </c>
      <c r="G12" s="2">
        <v>383209.60720000003</v>
      </c>
      <c r="H12" s="2">
        <v>112708.708</v>
      </c>
      <c r="I12" s="2">
        <v>101437.83719999999</v>
      </c>
      <c r="J12" s="2">
        <v>22541.741600000001</v>
      </c>
    </row>
    <row r="13" spans="1:10">
      <c r="A13">
        <v>12</v>
      </c>
      <c r="B13" t="s">
        <v>23</v>
      </c>
      <c r="C13" t="s">
        <v>12</v>
      </c>
      <c r="D13" s="2">
        <v>429828.58639999997</v>
      </c>
      <c r="E13" s="2">
        <v>53728.573299999996</v>
      </c>
      <c r="F13" s="2">
        <v>591014.30630000005</v>
      </c>
      <c r="G13" s="2">
        <v>1826771.4922</v>
      </c>
      <c r="H13" s="2">
        <v>537285.73300000001</v>
      </c>
      <c r="I13" s="2">
        <v>483557.15970000002</v>
      </c>
      <c r="J13" s="2">
        <v>107457.14659999999</v>
      </c>
    </row>
    <row r="14" spans="1:10">
      <c r="A14">
        <v>13</v>
      </c>
      <c r="B14" t="s">
        <v>24</v>
      </c>
      <c r="C14" t="s">
        <v>12</v>
      </c>
      <c r="D14" s="2">
        <v>280123.45199999999</v>
      </c>
      <c r="E14" s="2">
        <v>35015.431499999999</v>
      </c>
      <c r="F14" s="2">
        <v>385169.74650000001</v>
      </c>
      <c r="G14" s="2">
        <v>1190524.6710000001</v>
      </c>
      <c r="H14" s="2">
        <v>350154.315</v>
      </c>
      <c r="I14" s="2">
        <v>315138.8835</v>
      </c>
      <c r="J14" s="2">
        <v>70030.862999999998</v>
      </c>
    </row>
    <row r="15" spans="1:10">
      <c r="A15">
        <v>14</v>
      </c>
      <c r="B15" t="s">
        <v>25</v>
      </c>
      <c r="C15" t="s">
        <v>12</v>
      </c>
      <c r="D15" s="2">
        <v>163571.15359999999</v>
      </c>
      <c r="E15" s="2">
        <v>20446.394199999999</v>
      </c>
      <c r="F15" s="2">
        <v>224910.33619999999</v>
      </c>
      <c r="G15" s="2">
        <v>695177.40280000004</v>
      </c>
      <c r="H15" s="2">
        <v>204463.94200000001</v>
      </c>
      <c r="I15" s="2">
        <v>184017.5478</v>
      </c>
      <c r="J15" s="2">
        <v>40892.788399999998</v>
      </c>
    </row>
    <row r="16" spans="1:10">
      <c r="A16">
        <v>15</v>
      </c>
      <c r="B16" t="s">
        <v>26</v>
      </c>
      <c r="C16" t="s">
        <v>12</v>
      </c>
      <c r="D16" s="2">
        <v>93529.717600000004</v>
      </c>
      <c r="E16" s="2">
        <v>11691.2147</v>
      </c>
      <c r="F16" s="2">
        <v>128603.36169999999</v>
      </c>
      <c r="G16" s="2">
        <v>397501.29979999998</v>
      </c>
      <c r="H16" s="2">
        <v>116912.147</v>
      </c>
      <c r="I16" s="2">
        <v>105220.9323</v>
      </c>
      <c r="J16" s="2">
        <v>23382.429400000001</v>
      </c>
    </row>
    <row r="17" spans="1:10">
      <c r="A17">
        <v>16</v>
      </c>
      <c r="B17" t="s">
        <v>27</v>
      </c>
      <c r="C17" t="s">
        <v>12</v>
      </c>
      <c r="D17" s="2">
        <v>288833.09600000002</v>
      </c>
      <c r="E17" s="2">
        <v>36104.137000000002</v>
      </c>
      <c r="F17" s="2">
        <v>397145.50699999998</v>
      </c>
      <c r="G17" s="2">
        <v>1227540.6580000001</v>
      </c>
      <c r="H17" s="2">
        <v>361041.37</v>
      </c>
      <c r="I17" s="2">
        <v>324937.23300000001</v>
      </c>
      <c r="J17" s="2">
        <v>72208.274000000005</v>
      </c>
    </row>
    <row r="18" spans="1:10">
      <c r="A18">
        <v>17</v>
      </c>
      <c r="B18" t="s">
        <v>28</v>
      </c>
      <c r="C18" t="s">
        <v>12</v>
      </c>
      <c r="D18" s="2">
        <v>319307.02399999998</v>
      </c>
      <c r="E18" s="2">
        <v>39913.377999999997</v>
      </c>
      <c r="F18" s="2">
        <v>439047.158</v>
      </c>
      <c r="G18" s="2">
        <v>1357054.852</v>
      </c>
      <c r="H18" s="2">
        <v>399133.78</v>
      </c>
      <c r="I18" s="2">
        <v>359220.402</v>
      </c>
      <c r="J18" s="2">
        <v>79826.755999999994</v>
      </c>
    </row>
    <row r="19" spans="1:10">
      <c r="A19">
        <v>18</v>
      </c>
      <c r="B19" t="s">
        <v>29</v>
      </c>
      <c r="C19" t="s">
        <v>12</v>
      </c>
      <c r="D19" s="2">
        <v>267226.54399999999</v>
      </c>
      <c r="E19" s="2">
        <v>33403.317999999999</v>
      </c>
      <c r="F19" s="2">
        <v>367436.49800000002</v>
      </c>
      <c r="G19" s="2">
        <v>1135712.8119999999</v>
      </c>
      <c r="H19" s="2">
        <v>334033.18</v>
      </c>
      <c r="I19" s="2">
        <v>300629.86200000002</v>
      </c>
      <c r="J19" s="2">
        <v>66806.635999999999</v>
      </c>
    </row>
    <row r="20" spans="1:10">
      <c r="A20">
        <v>19</v>
      </c>
      <c r="B20" t="s">
        <v>30</v>
      </c>
      <c r="C20" t="s">
        <v>12</v>
      </c>
      <c r="D20" s="2">
        <v>206929.1912</v>
      </c>
      <c r="E20" s="2">
        <v>25866.1489</v>
      </c>
      <c r="F20" s="2">
        <v>284527.63789999997</v>
      </c>
      <c r="G20" s="2">
        <v>879449.06259999995</v>
      </c>
      <c r="H20" s="2">
        <v>258661.489</v>
      </c>
      <c r="I20" s="2">
        <v>232795.3401</v>
      </c>
      <c r="J20" s="2">
        <v>51732.2978</v>
      </c>
    </row>
    <row r="21" spans="1:10">
      <c r="A21">
        <v>20</v>
      </c>
      <c r="B21" t="s">
        <v>31</v>
      </c>
      <c r="C21" t="s">
        <v>12</v>
      </c>
      <c r="D21" s="2">
        <v>40019.7664</v>
      </c>
      <c r="E21" s="2">
        <v>5002.4708000000001</v>
      </c>
      <c r="F21" s="2">
        <v>55027.178800000002</v>
      </c>
      <c r="G21" s="2">
        <v>170084.00719999999</v>
      </c>
      <c r="H21" s="2">
        <v>50024.707999999999</v>
      </c>
      <c r="I21" s="2">
        <v>45022.237200000003</v>
      </c>
      <c r="J21" s="2">
        <v>10004.9416</v>
      </c>
    </row>
    <row r="22" spans="1:10">
      <c r="A22">
        <v>21</v>
      </c>
      <c r="B22" t="s">
        <v>32</v>
      </c>
      <c r="C22" t="s">
        <v>12</v>
      </c>
      <c r="D22" s="2">
        <v>208795.56719999999</v>
      </c>
      <c r="E22" s="2">
        <v>26099.445899999999</v>
      </c>
      <c r="F22" s="2">
        <v>287093.90490000002</v>
      </c>
      <c r="G22" s="2">
        <v>887381.16059999994</v>
      </c>
      <c r="H22" s="2">
        <v>260994.459</v>
      </c>
      <c r="I22" s="2">
        <v>234895.01310000001</v>
      </c>
      <c r="J22" s="2">
        <v>52198.891799999998</v>
      </c>
    </row>
    <row r="23" spans="1:10">
      <c r="A23">
        <v>22</v>
      </c>
      <c r="B23" t="s">
        <v>33</v>
      </c>
      <c r="C23" t="s">
        <v>12</v>
      </c>
      <c r="D23" s="2">
        <v>107195.12639999999</v>
      </c>
      <c r="E23" s="2">
        <v>13399.390799999999</v>
      </c>
      <c r="F23" s="2">
        <v>147393.29879999999</v>
      </c>
      <c r="G23" s="2">
        <v>455579.28720000002</v>
      </c>
      <c r="H23" s="2">
        <v>133993.908</v>
      </c>
      <c r="I23" s="2">
        <v>120594.5172</v>
      </c>
      <c r="J23" s="2">
        <v>26798.781599999998</v>
      </c>
    </row>
    <row r="24" spans="1:10">
      <c r="A24">
        <v>23</v>
      </c>
      <c r="B24" t="s">
        <v>34</v>
      </c>
      <c r="C24" t="s">
        <v>12</v>
      </c>
      <c r="D24" s="2">
        <v>302291.12640000001</v>
      </c>
      <c r="E24" s="2">
        <v>37786.390800000001</v>
      </c>
      <c r="F24" s="2">
        <v>415650.29879999999</v>
      </c>
      <c r="G24" s="2">
        <v>1284737.2871999999</v>
      </c>
      <c r="H24" s="2">
        <v>377863.908</v>
      </c>
      <c r="I24" s="2">
        <v>340077.5172</v>
      </c>
      <c r="J24" s="2">
        <v>75572.781600000002</v>
      </c>
    </row>
    <row r="25" spans="1:10">
      <c r="A25">
        <v>24</v>
      </c>
      <c r="B25" t="s">
        <v>35</v>
      </c>
      <c r="C25" t="s">
        <v>12</v>
      </c>
      <c r="D25" s="2">
        <v>247816.50880000001</v>
      </c>
      <c r="E25" s="2">
        <v>30977.063600000001</v>
      </c>
      <c r="F25" s="2">
        <v>340747.69959999999</v>
      </c>
      <c r="G25" s="2">
        <v>1053220.1624</v>
      </c>
      <c r="H25" s="2">
        <v>309770.636</v>
      </c>
      <c r="I25" s="2">
        <v>278793.5724</v>
      </c>
      <c r="J25" s="2">
        <v>61954.127200000003</v>
      </c>
    </row>
    <row r="26" spans="1:10">
      <c r="A26">
        <v>25</v>
      </c>
      <c r="B26" t="s">
        <v>36</v>
      </c>
      <c r="C26" t="s">
        <v>12</v>
      </c>
      <c r="D26" s="2">
        <v>219604.28080000001</v>
      </c>
      <c r="E26" s="2">
        <v>27450.535100000001</v>
      </c>
      <c r="F26" s="2">
        <v>301955.8861</v>
      </c>
      <c r="G26" s="2">
        <v>933318.19339999999</v>
      </c>
      <c r="H26" s="2">
        <v>274505.35100000002</v>
      </c>
      <c r="I26" s="2">
        <v>247054.81589999999</v>
      </c>
      <c r="J26" s="2">
        <v>54901.070200000002</v>
      </c>
    </row>
    <row r="27" spans="1:10">
      <c r="A27">
        <v>26</v>
      </c>
      <c r="B27" t="s">
        <v>37</v>
      </c>
      <c r="C27" t="s">
        <v>12</v>
      </c>
      <c r="D27" s="2">
        <v>118520.95759999999</v>
      </c>
      <c r="E27" s="2">
        <v>14815.119699999999</v>
      </c>
      <c r="F27" s="2">
        <v>162966.3167</v>
      </c>
      <c r="G27" s="2">
        <v>503714.0698</v>
      </c>
      <c r="H27" s="2">
        <v>148151.19699999999</v>
      </c>
      <c r="I27" s="2">
        <v>133336.0773</v>
      </c>
      <c r="J27" s="2">
        <v>29630.239399999999</v>
      </c>
    </row>
    <row r="28" spans="1:10">
      <c r="A28">
        <v>27</v>
      </c>
      <c r="B28" t="s">
        <v>38</v>
      </c>
      <c r="C28" t="s">
        <v>12</v>
      </c>
      <c r="D28" s="2">
        <v>173044.34400000001</v>
      </c>
      <c r="E28" s="2">
        <v>21630.543000000001</v>
      </c>
      <c r="F28" s="2">
        <v>237935.973</v>
      </c>
      <c r="G28" s="2">
        <v>735438.46200000006</v>
      </c>
      <c r="H28" s="2">
        <v>216305.43</v>
      </c>
      <c r="I28" s="2">
        <v>194674.88699999999</v>
      </c>
      <c r="J28" s="2">
        <v>43261.086000000003</v>
      </c>
    </row>
    <row r="29" spans="1:10">
      <c r="A29">
        <v>28</v>
      </c>
      <c r="B29" t="s">
        <v>39</v>
      </c>
      <c r="C29" t="s">
        <v>12</v>
      </c>
      <c r="D29" s="2">
        <v>213800.64799999999</v>
      </c>
      <c r="E29" s="2">
        <v>26725.080999999998</v>
      </c>
      <c r="F29" s="2">
        <v>293975.891</v>
      </c>
      <c r="G29" s="2">
        <v>908652.75399999996</v>
      </c>
      <c r="H29" s="2">
        <v>267250.81</v>
      </c>
      <c r="I29" s="2">
        <v>240525.72899999999</v>
      </c>
      <c r="J29" s="2">
        <v>53450.161999999997</v>
      </c>
    </row>
    <row r="30" spans="1:10">
      <c r="A30">
        <v>29</v>
      </c>
      <c r="B30" t="s">
        <v>40</v>
      </c>
      <c r="C30" t="s">
        <v>12</v>
      </c>
      <c r="D30" s="2">
        <v>272639.85119999998</v>
      </c>
      <c r="E30" s="2">
        <v>34079.981399999997</v>
      </c>
      <c r="F30" s="2">
        <v>374879.7954</v>
      </c>
      <c r="G30" s="2">
        <v>1158719.3676</v>
      </c>
      <c r="H30" s="2">
        <v>340799.81400000001</v>
      </c>
      <c r="I30" s="2">
        <v>306719.83260000002</v>
      </c>
      <c r="J30" s="2">
        <v>68159.962799999994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"/>
  <sheetViews>
    <sheetView workbookViewId="0">
      <selection activeCell="C33" sqref="C33"/>
    </sheetView>
  </sheetViews>
  <sheetFormatPr defaultColWidth="9" defaultRowHeight="14.4"/>
  <cols>
    <col min="1" max="1" width="13" customWidth="1"/>
    <col min="2" max="2" width="22.88671875" customWidth="1"/>
    <col min="3" max="3" width="16.6640625" customWidth="1"/>
    <col min="4" max="4" width="15.88671875" customWidth="1"/>
    <col min="5" max="5" width="17.109375" customWidth="1"/>
    <col min="6" max="6" width="22.109375" customWidth="1"/>
    <col min="7" max="7" width="17.109375" customWidth="1"/>
    <col min="8" max="8" width="19.44140625" customWidth="1"/>
    <col min="9" max="9" width="21.77734375" customWidth="1"/>
    <col min="10" max="10" width="12" customWidth="1"/>
    <col min="11" max="11" width="11.77734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48</v>
      </c>
      <c r="E1" s="1" t="s">
        <v>47</v>
      </c>
      <c r="F1" s="1" t="s">
        <v>46</v>
      </c>
      <c r="G1" s="1" t="s">
        <v>45</v>
      </c>
      <c r="H1" s="1" t="s">
        <v>44</v>
      </c>
      <c r="I1" s="1" t="s">
        <v>43</v>
      </c>
      <c r="J1" s="1" t="s">
        <v>42</v>
      </c>
    </row>
    <row r="2" spans="1:10">
      <c r="A2">
        <v>1</v>
      </c>
      <c r="B2" t="s">
        <v>11</v>
      </c>
      <c r="C2" t="s">
        <v>12</v>
      </c>
      <c r="D2" s="2">
        <v>64546.875999999997</v>
      </c>
      <c r="E2" s="2">
        <v>40341.797500000001</v>
      </c>
      <c r="F2" s="2">
        <v>80683.595000000001</v>
      </c>
      <c r="G2" s="2">
        <v>322734.38</v>
      </c>
      <c r="H2" s="2">
        <v>121025.3925</v>
      </c>
      <c r="I2" s="2">
        <v>20170.89875</v>
      </c>
      <c r="J2" s="2">
        <v>12102.53925</v>
      </c>
    </row>
    <row r="3" spans="1:10">
      <c r="A3">
        <v>2</v>
      </c>
      <c r="B3" t="s">
        <v>13</v>
      </c>
      <c r="C3" t="s">
        <v>12</v>
      </c>
      <c r="D3" s="2">
        <v>167788.25279999999</v>
      </c>
      <c r="E3" s="2">
        <v>104867.658</v>
      </c>
      <c r="F3" s="2">
        <v>209735.31599999999</v>
      </c>
      <c r="G3" s="2">
        <v>838941.26399999997</v>
      </c>
      <c r="H3" s="2">
        <v>314602.97399999999</v>
      </c>
      <c r="I3" s="2">
        <v>52433.828999999998</v>
      </c>
      <c r="J3" s="2">
        <v>31460.297399999999</v>
      </c>
    </row>
    <row r="4" spans="1:10">
      <c r="A4">
        <v>3</v>
      </c>
      <c r="B4" t="s">
        <v>14</v>
      </c>
      <c r="C4" t="s">
        <v>12</v>
      </c>
      <c r="D4" s="2">
        <v>87376.438399999999</v>
      </c>
      <c r="E4" s="2">
        <v>54610.273999999998</v>
      </c>
      <c r="F4" s="2">
        <v>109220.548</v>
      </c>
      <c r="G4" s="2">
        <v>436882.19199999998</v>
      </c>
      <c r="H4" s="2">
        <v>163830.82199999999</v>
      </c>
      <c r="I4" s="2">
        <v>27305.136999999999</v>
      </c>
      <c r="J4" s="2">
        <v>16383.082200000001</v>
      </c>
    </row>
    <row r="5" spans="1:10">
      <c r="A5">
        <v>4</v>
      </c>
      <c r="B5" t="s">
        <v>15</v>
      </c>
      <c r="C5" t="s">
        <v>12</v>
      </c>
      <c r="D5" s="2">
        <v>67969.492800000007</v>
      </c>
      <c r="E5" s="2">
        <v>42480.932999999997</v>
      </c>
      <c r="F5" s="2">
        <v>84961.865999999995</v>
      </c>
      <c r="G5" s="2">
        <v>339847.46399999998</v>
      </c>
      <c r="H5" s="2">
        <v>127442.799</v>
      </c>
      <c r="I5" s="2">
        <v>21240.466499999999</v>
      </c>
      <c r="J5" s="2">
        <v>12744.2799</v>
      </c>
    </row>
    <row r="6" spans="1:10">
      <c r="A6">
        <v>5</v>
      </c>
      <c r="B6" t="s">
        <v>16</v>
      </c>
      <c r="C6" t="s">
        <v>12</v>
      </c>
      <c r="D6" s="2">
        <v>70594.939199999993</v>
      </c>
      <c r="E6" s="2">
        <v>44121.837</v>
      </c>
      <c r="F6" s="2">
        <v>88243.673999999999</v>
      </c>
      <c r="G6" s="2">
        <v>352974.696</v>
      </c>
      <c r="H6" s="2">
        <v>132365.511</v>
      </c>
      <c r="I6" s="2">
        <v>22060.9185</v>
      </c>
      <c r="J6" s="2">
        <v>13236.551100000001</v>
      </c>
    </row>
    <row r="7" spans="1:10">
      <c r="A7">
        <v>6</v>
      </c>
      <c r="B7" t="s">
        <v>17</v>
      </c>
      <c r="C7" t="s">
        <v>12</v>
      </c>
      <c r="D7" s="2">
        <v>73676.294399999999</v>
      </c>
      <c r="E7" s="2">
        <v>46047.684000000001</v>
      </c>
      <c r="F7" s="2">
        <v>92095.368000000002</v>
      </c>
      <c r="G7" s="2">
        <v>368381.47200000001</v>
      </c>
      <c r="H7" s="2">
        <v>138143.052</v>
      </c>
      <c r="I7" s="2">
        <v>23023.842000000001</v>
      </c>
      <c r="J7" s="2">
        <v>13814.305200000001</v>
      </c>
    </row>
    <row r="8" spans="1:10">
      <c r="A8">
        <v>7</v>
      </c>
      <c r="B8" t="s">
        <v>18</v>
      </c>
      <c r="C8" t="s">
        <v>12</v>
      </c>
      <c r="D8" s="2">
        <v>44745.112000000001</v>
      </c>
      <c r="E8" s="2">
        <v>27965.695</v>
      </c>
      <c r="F8" s="2">
        <v>55931.39</v>
      </c>
      <c r="G8" s="2">
        <v>223725.56</v>
      </c>
      <c r="H8" s="2">
        <v>83897.085000000006</v>
      </c>
      <c r="I8" s="2">
        <v>13982.8475</v>
      </c>
      <c r="J8" s="2">
        <v>8389.7085000000006</v>
      </c>
    </row>
    <row r="9" spans="1:10">
      <c r="A9">
        <v>8</v>
      </c>
      <c r="B9" t="s">
        <v>19</v>
      </c>
      <c r="C9" t="s">
        <v>12</v>
      </c>
      <c r="D9" s="2">
        <v>112048.9336</v>
      </c>
      <c r="E9" s="2">
        <v>70030.583499999993</v>
      </c>
      <c r="F9" s="2">
        <v>140061.16699999999</v>
      </c>
      <c r="G9" s="2">
        <v>560244.66799999995</v>
      </c>
      <c r="H9" s="2">
        <v>210091.75049999999</v>
      </c>
      <c r="I9" s="2">
        <v>35015.291749999997</v>
      </c>
      <c r="J9" s="2">
        <v>21009.175050000002</v>
      </c>
    </row>
    <row r="10" spans="1:10">
      <c r="A10">
        <v>9</v>
      </c>
      <c r="B10" t="s">
        <v>20</v>
      </c>
      <c r="C10" t="s">
        <v>12</v>
      </c>
      <c r="D10" s="2">
        <v>73971.668799999999</v>
      </c>
      <c r="E10" s="2">
        <v>46232.292999999998</v>
      </c>
      <c r="F10" s="2">
        <v>92464.585999999996</v>
      </c>
      <c r="G10" s="2">
        <v>369858.34399999998</v>
      </c>
      <c r="H10" s="2">
        <v>138696.87899999999</v>
      </c>
      <c r="I10" s="2">
        <v>23116.146499999999</v>
      </c>
      <c r="J10" s="2">
        <v>13869.687900000001</v>
      </c>
    </row>
    <row r="11" spans="1:10">
      <c r="A11">
        <v>10</v>
      </c>
      <c r="B11" t="s">
        <v>21</v>
      </c>
      <c r="C11" t="s">
        <v>12</v>
      </c>
      <c r="D11" s="2">
        <v>181898.8768</v>
      </c>
      <c r="E11" s="2">
        <v>113686.798</v>
      </c>
      <c r="F11" s="2">
        <v>227373.59599999999</v>
      </c>
      <c r="G11" s="2">
        <v>909494.38399999996</v>
      </c>
      <c r="H11" s="2">
        <v>341060.39399999997</v>
      </c>
      <c r="I11" s="2">
        <v>56843.398999999998</v>
      </c>
      <c r="J11" s="2">
        <v>34106.039400000001</v>
      </c>
    </row>
    <row r="12" spans="1:10">
      <c r="A12">
        <v>11</v>
      </c>
      <c r="B12" t="s">
        <v>22</v>
      </c>
      <c r="C12" t="s">
        <v>12</v>
      </c>
      <c r="D12" s="2">
        <v>56988.059200000003</v>
      </c>
      <c r="E12" s="2">
        <v>35617.536999999997</v>
      </c>
      <c r="F12" s="2">
        <v>71235.073999999993</v>
      </c>
      <c r="G12" s="2">
        <v>284940.29599999997</v>
      </c>
      <c r="H12" s="2">
        <v>106852.611</v>
      </c>
      <c r="I12" s="2">
        <v>17808.768499999998</v>
      </c>
      <c r="J12" s="2">
        <v>10685.2611</v>
      </c>
    </row>
    <row r="13" spans="1:10">
      <c r="A13">
        <v>12</v>
      </c>
      <c r="B13" t="s">
        <v>23</v>
      </c>
      <c r="C13" t="s">
        <v>12</v>
      </c>
      <c r="D13" s="2">
        <v>78455.035199999998</v>
      </c>
      <c r="E13" s="2">
        <v>49034.396999999997</v>
      </c>
      <c r="F13" s="2">
        <v>98068.793999999994</v>
      </c>
      <c r="G13" s="2">
        <v>392275.17599999998</v>
      </c>
      <c r="H13" s="2">
        <v>147103.19099999999</v>
      </c>
      <c r="I13" s="2">
        <v>24517.198499999999</v>
      </c>
      <c r="J13" s="2">
        <v>14710.319100000001</v>
      </c>
    </row>
    <row r="14" spans="1:10">
      <c r="A14">
        <v>13</v>
      </c>
      <c r="B14" t="s">
        <v>24</v>
      </c>
      <c r="C14" t="s">
        <v>12</v>
      </c>
      <c r="D14" s="2">
        <v>147112.55119999999</v>
      </c>
      <c r="E14" s="2">
        <v>91945.344500000007</v>
      </c>
      <c r="F14" s="2">
        <v>183890.68900000001</v>
      </c>
      <c r="G14" s="2">
        <v>735562.75600000005</v>
      </c>
      <c r="H14" s="2">
        <v>275836.03350000002</v>
      </c>
      <c r="I14" s="2">
        <v>45972.672250000003</v>
      </c>
      <c r="J14" s="2">
        <v>27583.603350000001</v>
      </c>
    </row>
    <row r="15" spans="1:10">
      <c r="A15">
        <v>14</v>
      </c>
      <c r="B15" t="s">
        <v>25</v>
      </c>
      <c r="C15" t="s">
        <v>12</v>
      </c>
      <c r="D15" s="2">
        <v>62327.487999999998</v>
      </c>
      <c r="E15" s="2">
        <v>38954.68</v>
      </c>
      <c r="F15" s="2">
        <v>77909.36</v>
      </c>
      <c r="G15" s="2">
        <v>311637.44</v>
      </c>
      <c r="H15" s="2">
        <v>116864.04</v>
      </c>
      <c r="I15" s="2">
        <v>19477.34</v>
      </c>
      <c r="J15" s="2">
        <v>11686.404</v>
      </c>
    </row>
    <row r="16" spans="1:10">
      <c r="A16">
        <v>15</v>
      </c>
      <c r="B16" t="s">
        <v>26</v>
      </c>
      <c r="C16" t="s">
        <v>12</v>
      </c>
      <c r="D16" s="2">
        <v>63314.953600000001</v>
      </c>
      <c r="E16" s="2">
        <v>39571.845999999998</v>
      </c>
      <c r="F16" s="2">
        <v>79143.691999999995</v>
      </c>
      <c r="G16" s="2">
        <v>316574.76799999998</v>
      </c>
      <c r="H16" s="2">
        <v>118715.538</v>
      </c>
      <c r="I16" s="2">
        <v>19785.922999999999</v>
      </c>
      <c r="J16" s="2">
        <v>11871.5538</v>
      </c>
    </row>
    <row r="17" spans="1:10">
      <c r="A17">
        <v>16</v>
      </c>
      <c r="B17" t="s">
        <v>27</v>
      </c>
      <c r="C17" t="s">
        <v>12</v>
      </c>
      <c r="D17" s="2">
        <v>23615.516800000001</v>
      </c>
      <c r="E17" s="2">
        <v>14759.698</v>
      </c>
      <c r="F17" s="2">
        <v>29519.396000000001</v>
      </c>
      <c r="G17" s="2">
        <v>118077.584</v>
      </c>
      <c r="H17" s="2">
        <v>44279.093999999997</v>
      </c>
      <c r="I17" s="2">
        <v>7379.8490000000002</v>
      </c>
      <c r="J17" s="2">
        <v>4427.9093999999996</v>
      </c>
    </row>
    <row r="18" spans="1:10">
      <c r="A18">
        <v>17</v>
      </c>
      <c r="B18" t="s">
        <v>28</v>
      </c>
      <c r="C18" t="s">
        <v>12</v>
      </c>
      <c r="D18" s="2">
        <v>17904.099999999999</v>
      </c>
      <c r="E18" s="2">
        <v>11190.0625</v>
      </c>
      <c r="F18" s="2">
        <v>22380.125</v>
      </c>
      <c r="G18" s="2">
        <v>89520.5</v>
      </c>
      <c r="H18" s="2">
        <v>33570.1875</v>
      </c>
      <c r="I18" s="2">
        <v>5595.03125</v>
      </c>
      <c r="J18" s="2">
        <v>3357.0187500000002</v>
      </c>
    </row>
    <row r="19" spans="1:10">
      <c r="A19">
        <v>18</v>
      </c>
      <c r="B19" t="s">
        <v>29</v>
      </c>
      <c r="C19" t="s">
        <v>12</v>
      </c>
      <c r="D19" s="2">
        <v>113354.83839999999</v>
      </c>
      <c r="E19" s="2">
        <v>70846.774000000005</v>
      </c>
      <c r="F19" s="2">
        <v>141693.54800000001</v>
      </c>
      <c r="G19" s="2">
        <v>566774.19200000004</v>
      </c>
      <c r="H19" s="2">
        <v>212540.32199999999</v>
      </c>
      <c r="I19" s="2">
        <v>35423.387000000002</v>
      </c>
      <c r="J19" s="2">
        <v>21254.032200000001</v>
      </c>
    </row>
    <row r="20" spans="1:10">
      <c r="A20">
        <v>19</v>
      </c>
      <c r="B20" t="s">
        <v>30</v>
      </c>
      <c r="C20" t="s">
        <v>12</v>
      </c>
      <c r="D20" s="2">
        <v>151692.516</v>
      </c>
      <c r="E20" s="2">
        <v>94807.822499999995</v>
      </c>
      <c r="F20" s="2">
        <v>189615.64499999999</v>
      </c>
      <c r="G20" s="2">
        <v>758462.58</v>
      </c>
      <c r="H20" s="2">
        <v>284423.46750000003</v>
      </c>
      <c r="I20" s="2">
        <v>47403.911249999997</v>
      </c>
      <c r="J20" s="2">
        <v>28442.346750000001</v>
      </c>
    </row>
    <row r="21" spans="1:10">
      <c r="A21">
        <v>20</v>
      </c>
      <c r="B21" t="s">
        <v>31</v>
      </c>
      <c r="C21" t="s">
        <v>12</v>
      </c>
      <c r="D21" s="2">
        <v>156594.6912</v>
      </c>
      <c r="E21" s="2">
        <v>97871.682000000001</v>
      </c>
      <c r="F21" s="2">
        <v>195743.364</v>
      </c>
      <c r="G21" s="2">
        <v>782973.45600000001</v>
      </c>
      <c r="H21" s="2">
        <v>293615.04599999997</v>
      </c>
      <c r="I21" s="2">
        <v>48935.841</v>
      </c>
      <c r="J21" s="2">
        <v>29361.5046</v>
      </c>
    </row>
    <row r="22" spans="1:10">
      <c r="A22">
        <v>21</v>
      </c>
      <c r="B22" t="s">
        <v>32</v>
      </c>
      <c r="C22" t="s">
        <v>12</v>
      </c>
      <c r="D22" s="2">
        <v>90013.22</v>
      </c>
      <c r="E22" s="2">
        <v>56258.262499999997</v>
      </c>
      <c r="F22" s="2">
        <v>112516.52499999999</v>
      </c>
      <c r="G22" s="2">
        <v>450066.1</v>
      </c>
      <c r="H22" s="2">
        <v>168774.78750000001</v>
      </c>
      <c r="I22" s="2">
        <v>28129.131249999999</v>
      </c>
      <c r="J22" s="2">
        <v>16877.478749999998</v>
      </c>
    </row>
    <row r="23" spans="1:10">
      <c r="A23">
        <v>22</v>
      </c>
      <c r="B23" t="s">
        <v>33</v>
      </c>
      <c r="C23" t="s">
        <v>12</v>
      </c>
      <c r="D23" s="2">
        <v>74403.571200000006</v>
      </c>
      <c r="E23" s="2">
        <v>46502.232000000004</v>
      </c>
      <c r="F23" s="2">
        <v>93004.464000000007</v>
      </c>
      <c r="G23" s="2">
        <v>372017.85600000003</v>
      </c>
      <c r="H23" s="2">
        <v>139506.696</v>
      </c>
      <c r="I23" s="2">
        <v>23251.116000000002</v>
      </c>
      <c r="J23" s="2">
        <v>13950.669599999999</v>
      </c>
    </row>
    <row r="24" spans="1:10">
      <c r="A24">
        <v>23</v>
      </c>
      <c r="B24" t="s">
        <v>34</v>
      </c>
      <c r="C24" t="s">
        <v>12</v>
      </c>
      <c r="D24" s="2">
        <v>38624.439200000001</v>
      </c>
      <c r="E24" s="2">
        <v>24140.2745</v>
      </c>
      <c r="F24" s="2">
        <v>48280.548999999999</v>
      </c>
      <c r="G24" s="2">
        <v>193122.196</v>
      </c>
      <c r="H24" s="2">
        <v>72420.823499999999</v>
      </c>
      <c r="I24" s="2">
        <v>12070.13725</v>
      </c>
      <c r="J24" s="2">
        <v>7242.0823499999997</v>
      </c>
    </row>
    <row r="25" spans="1:10">
      <c r="A25">
        <v>24</v>
      </c>
      <c r="B25" t="s">
        <v>35</v>
      </c>
      <c r="C25" t="s">
        <v>12</v>
      </c>
      <c r="D25" s="2">
        <v>68867.805600000007</v>
      </c>
      <c r="E25" s="2">
        <v>43042.378499999999</v>
      </c>
      <c r="F25" s="2">
        <v>86084.756999999998</v>
      </c>
      <c r="G25" s="2">
        <v>344339.02799999999</v>
      </c>
      <c r="H25" s="2">
        <v>129127.1355</v>
      </c>
      <c r="I25" s="2">
        <v>21521.189249999999</v>
      </c>
      <c r="J25" s="2">
        <v>12912.71355</v>
      </c>
    </row>
    <row r="26" spans="1:10">
      <c r="A26">
        <v>25</v>
      </c>
      <c r="B26" t="s">
        <v>36</v>
      </c>
      <c r="C26" t="s">
        <v>12</v>
      </c>
      <c r="D26" s="2">
        <v>60648.232799999998</v>
      </c>
      <c r="E26" s="2">
        <v>37905.145499999999</v>
      </c>
      <c r="F26" s="2">
        <v>75810.290999999997</v>
      </c>
      <c r="G26" s="2">
        <v>303241.16399999999</v>
      </c>
      <c r="H26" s="2">
        <v>113715.4365</v>
      </c>
      <c r="I26" s="2">
        <v>18952.572749999999</v>
      </c>
      <c r="J26" s="2">
        <v>11371.54365</v>
      </c>
    </row>
    <row r="27" spans="1:10">
      <c r="A27">
        <v>26</v>
      </c>
      <c r="B27" t="s">
        <v>37</v>
      </c>
      <c r="C27" t="s">
        <v>12</v>
      </c>
      <c r="D27" s="2">
        <v>166013.59599999999</v>
      </c>
      <c r="E27" s="2">
        <v>103758.4975</v>
      </c>
      <c r="F27" s="2">
        <v>207516.995</v>
      </c>
      <c r="G27" s="2">
        <v>830067.98</v>
      </c>
      <c r="H27" s="2">
        <v>311275.49249999999</v>
      </c>
      <c r="I27" s="2">
        <v>51879.248749999999</v>
      </c>
      <c r="J27" s="2">
        <v>31127.54925</v>
      </c>
    </row>
    <row r="28" spans="1:10">
      <c r="A28">
        <v>27</v>
      </c>
      <c r="B28" t="s">
        <v>38</v>
      </c>
      <c r="C28" t="s">
        <v>12</v>
      </c>
      <c r="D28" s="2">
        <v>65624.859200000006</v>
      </c>
      <c r="E28" s="2">
        <v>41015.536999999997</v>
      </c>
      <c r="F28" s="2">
        <v>82031.073999999993</v>
      </c>
      <c r="G28" s="2">
        <v>328124.29599999997</v>
      </c>
      <c r="H28" s="2">
        <v>123046.611</v>
      </c>
      <c r="I28" s="2">
        <v>20507.768499999998</v>
      </c>
      <c r="J28" s="2">
        <v>12304.661099999999</v>
      </c>
    </row>
    <row r="29" spans="1:10">
      <c r="A29">
        <v>28</v>
      </c>
      <c r="B29" t="s">
        <v>39</v>
      </c>
      <c r="C29" t="s">
        <v>12</v>
      </c>
      <c r="D29" s="2">
        <v>72282.62</v>
      </c>
      <c r="E29" s="2">
        <v>45176.637499999997</v>
      </c>
      <c r="F29" s="2">
        <v>90353.274999999994</v>
      </c>
      <c r="G29" s="2">
        <v>361413.1</v>
      </c>
      <c r="H29" s="2">
        <v>135529.91250000001</v>
      </c>
      <c r="I29" s="2">
        <v>22588.318749999999</v>
      </c>
      <c r="J29" s="2">
        <v>13552.991249999999</v>
      </c>
    </row>
    <row r="30" spans="1:10">
      <c r="A30">
        <v>29</v>
      </c>
      <c r="B30" t="s">
        <v>40</v>
      </c>
      <c r="C30" t="s">
        <v>12</v>
      </c>
      <c r="D30" s="2">
        <v>92060.846399999995</v>
      </c>
      <c r="E30" s="2">
        <v>57538.029000000002</v>
      </c>
      <c r="F30" s="2">
        <v>115076.058</v>
      </c>
      <c r="G30" s="2">
        <v>460304.23200000002</v>
      </c>
      <c r="H30" s="2">
        <v>172614.087</v>
      </c>
      <c r="I30" s="2">
        <v>28769.014500000001</v>
      </c>
      <c r="J30" s="2">
        <v>17261.4087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7"/>
  <sheetViews>
    <sheetView workbookViewId="0">
      <selection activeCell="H8" sqref="H8"/>
    </sheetView>
  </sheetViews>
  <sheetFormatPr defaultColWidth="9" defaultRowHeight="14.4"/>
  <cols>
    <col min="1" max="1" width="13.88671875" customWidth="1"/>
    <col min="2" max="2" width="22.88671875" customWidth="1"/>
    <col min="3" max="3" width="17.109375" customWidth="1"/>
    <col min="4" max="4" width="15.88671875" customWidth="1"/>
    <col min="5" max="5" width="16.6640625" customWidth="1"/>
    <col min="6" max="6" width="20.109375" customWidth="1"/>
    <col min="7" max="7" width="16.77734375" customWidth="1"/>
  </cols>
  <sheetData>
    <row r="1" spans="1:7">
      <c r="A1" t="s">
        <v>0</v>
      </c>
      <c r="B1" t="s">
        <v>1</v>
      </c>
      <c r="C1" t="s">
        <v>2</v>
      </c>
      <c r="D1" s="3" t="s">
        <v>66</v>
      </c>
      <c r="E1" s="3" t="s">
        <v>65</v>
      </c>
      <c r="F1" s="3" t="s">
        <v>64</v>
      </c>
      <c r="G1" s="3"/>
    </row>
    <row r="2" spans="1:7">
      <c r="A2">
        <v>1</v>
      </c>
      <c r="B2" t="s">
        <v>11</v>
      </c>
      <c r="C2" t="s">
        <v>12</v>
      </c>
      <c r="D2" s="3" t="s">
        <v>63</v>
      </c>
      <c r="E2" s="3">
        <v>497347.29200000002</v>
      </c>
      <c r="F2" s="3" t="s">
        <v>62</v>
      </c>
      <c r="G2" s="3"/>
    </row>
    <row r="3" spans="1:7">
      <c r="A3">
        <v>1</v>
      </c>
      <c r="B3" t="s">
        <v>11</v>
      </c>
      <c r="C3" t="s">
        <v>12</v>
      </c>
      <c r="D3" s="3" t="s">
        <v>61</v>
      </c>
      <c r="E3" s="3">
        <v>822535.90599999996</v>
      </c>
      <c r="F3" s="3" t="s">
        <v>60</v>
      </c>
      <c r="G3" s="3"/>
    </row>
    <row r="4" spans="1:7">
      <c r="A4">
        <v>1</v>
      </c>
      <c r="B4" t="s">
        <v>11</v>
      </c>
      <c r="C4" t="s">
        <v>12</v>
      </c>
      <c r="D4" s="3" t="s">
        <v>59</v>
      </c>
      <c r="E4" s="3">
        <v>363446.098</v>
      </c>
      <c r="F4" s="3" t="s">
        <v>58</v>
      </c>
      <c r="G4" s="3"/>
    </row>
    <row r="5" spans="1:7">
      <c r="A5">
        <v>1</v>
      </c>
      <c r="B5" t="s">
        <v>11</v>
      </c>
      <c r="C5" t="s">
        <v>12</v>
      </c>
      <c r="D5" s="3" t="s">
        <v>57</v>
      </c>
      <c r="E5" s="3">
        <v>229544.90399999998</v>
      </c>
      <c r="F5" s="3" t="s">
        <v>56</v>
      </c>
      <c r="G5" s="3"/>
    </row>
    <row r="6" spans="1:7">
      <c r="A6">
        <v>2</v>
      </c>
      <c r="B6" t="s">
        <v>13</v>
      </c>
      <c r="C6" t="s">
        <v>12</v>
      </c>
      <c r="D6" s="3" t="s">
        <v>63</v>
      </c>
      <c r="E6" s="3">
        <v>703657.15419999999</v>
      </c>
      <c r="F6" s="3" t="s">
        <v>62</v>
      </c>
      <c r="G6" s="3"/>
    </row>
    <row r="7" spans="1:7">
      <c r="A7">
        <v>2</v>
      </c>
      <c r="B7" t="s">
        <v>13</v>
      </c>
      <c r="C7" t="s">
        <v>12</v>
      </c>
      <c r="D7" s="3" t="s">
        <v>61</v>
      </c>
      <c r="E7" s="3">
        <v>1163740.6780999999</v>
      </c>
      <c r="F7" s="3" t="s">
        <v>60</v>
      </c>
      <c r="G7" s="3"/>
    </row>
    <row r="8" spans="1:7">
      <c r="A8">
        <v>2</v>
      </c>
      <c r="B8" t="s">
        <v>13</v>
      </c>
      <c r="C8" t="s">
        <v>12</v>
      </c>
      <c r="D8" s="3" t="s">
        <v>59</v>
      </c>
      <c r="E8" s="3">
        <v>514210.99729999999</v>
      </c>
      <c r="F8" s="3" t="s">
        <v>58</v>
      </c>
      <c r="G8" s="3"/>
    </row>
    <row r="9" spans="1:7">
      <c r="A9">
        <v>2</v>
      </c>
      <c r="B9" t="s">
        <v>13</v>
      </c>
      <c r="C9" t="s">
        <v>12</v>
      </c>
      <c r="D9" s="3" t="s">
        <v>57</v>
      </c>
      <c r="E9" s="3">
        <v>324764.84039999999</v>
      </c>
      <c r="F9" s="3" t="s">
        <v>56</v>
      </c>
      <c r="G9" s="3"/>
    </row>
    <row r="10" spans="1:7">
      <c r="A10">
        <v>3</v>
      </c>
      <c r="B10" t="s">
        <v>14</v>
      </c>
      <c r="C10" t="s">
        <v>12</v>
      </c>
      <c r="D10" s="3" t="s">
        <v>63</v>
      </c>
      <c r="E10" s="3">
        <v>787637.88220000011</v>
      </c>
      <c r="F10" s="3" t="s">
        <v>62</v>
      </c>
      <c r="G10" s="3"/>
    </row>
    <row r="11" spans="1:7">
      <c r="A11">
        <v>3</v>
      </c>
      <c r="B11" t="s">
        <v>14</v>
      </c>
      <c r="C11" t="s">
        <v>12</v>
      </c>
      <c r="D11" s="3" t="s">
        <v>61</v>
      </c>
      <c r="E11" s="3">
        <v>1302631.8821</v>
      </c>
      <c r="F11" s="3" t="s">
        <v>60</v>
      </c>
      <c r="G11" s="3"/>
    </row>
    <row r="12" spans="1:7">
      <c r="A12">
        <v>3</v>
      </c>
      <c r="B12" t="s">
        <v>14</v>
      </c>
      <c r="C12" t="s">
        <v>12</v>
      </c>
      <c r="D12" s="3" t="s">
        <v>59</v>
      </c>
      <c r="E12" s="3">
        <v>575581.52930000005</v>
      </c>
      <c r="F12" s="3" t="s">
        <v>58</v>
      </c>
      <c r="G12" s="3"/>
    </row>
    <row r="13" spans="1:7">
      <c r="A13">
        <v>3</v>
      </c>
      <c r="B13" t="s">
        <v>14</v>
      </c>
      <c r="C13" t="s">
        <v>12</v>
      </c>
      <c r="D13" s="3" t="s">
        <v>57</v>
      </c>
      <c r="E13" s="3">
        <v>363525.1764</v>
      </c>
      <c r="F13" s="3" t="s">
        <v>56</v>
      </c>
      <c r="G13" s="3"/>
    </row>
    <row r="14" spans="1:7">
      <c r="A14">
        <v>4</v>
      </c>
      <c r="B14" t="s">
        <v>15</v>
      </c>
      <c r="C14" t="s">
        <v>12</v>
      </c>
      <c r="D14" s="3" t="s">
        <v>63</v>
      </c>
      <c r="E14" s="3">
        <v>765982.81759999995</v>
      </c>
      <c r="F14" s="3" t="s">
        <v>62</v>
      </c>
      <c r="G14" s="3"/>
    </row>
    <row r="15" spans="1:7">
      <c r="A15">
        <v>4</v>
      </c>
      <c r="B15" t="s">
        <v>15</v>
      </c>
      <c r="C15" t="s">
        <v>12</v>
      </c>
      <c r="D15" s="3" t="s">
        <v>61</v>
      </c>
      <c r="E15" s="3">
        <v>1266817.7367999998</v>
      </c>
      <c r="F15" s="3" t="s">
        <v>60</v>
      </c>
      <c r="G15" s="3"/>
    </row>
    <row r="16" spans="1:7">
      <c r="A16">
        <v>4</v>
      </c>
      <c r="B16" t="s">
        <v>15</v>
      </c>
      <c r="C16" t="s">
        <v>12</v>
      </c>
      <c r="D16" s="3" t="s">
        <v>59</v>
      </c>
      <c r="E16" s="3">
        <v>559756.67440000002</v>
      </c>
      <c r="F16" s="3" t="s">
        <v>58</v>
      </c>
      <c r="G16" s="3"/>
    </row>
    <row r="17" spans="1:7">
      <c r="A17">
        <v>4</v>
      </c>
      <c r="B17" t="s">
        <v>15</v>
      </c>
      <c r="C17" t="s">
        <v>12</v>
      </c>
      <c r="D17" s="3" t="s">
        <v>57</v>
      </c>
      <c r="E17" s="3">
        <v>353530.53119999997</v>
      </c>
      <c r="F17" s="3" t="s">
        <v>56</v>
      </c>
      <c r="G17" s="3"/>
    </row>
    <row r="18" spans="1:7">
      <c r="A18">
        <v>5</v>
      </c>
      <c r="B18" t="s">
        <v>16</v>
      </c>
      <c r="C18" t="s">
        <v>12</v>
      </c>
      <c r="D18" s="3" t="s">
        <v>63</v>
      </c>
      <c r="E18" s="3">
        <v>780233.12899999996</v>
      </c>
      <c r="F18" s="3" t="s">
        <v>62</v>
      </c>
      <c r="G18" s="3"/>
    </row>
    <row r="19" spans="1:7">
      <c r="A19">
        <v>5</v>
      </c>
      <c r="B19" t="s">
        <v>16</v>
      </c>
      <c r="C19" t="s">
        <v>12</v>
      </c>
      <c r="D19" s="3" t="s">
        <v>61</v>
      </c>
      <c r="E19" s="3">
        <v>1290385.5595</v>
      </c>
      <c r="F19" s="3" t="s">
        <v>60</v>
      </c>
      <c r="G19" s="3"/>
    </row>
    <row r="20" spans="1:7">
      <c r="A20">
        <v>5</v>
      </c>
      <c r="B20" t="s">
        <v>16</v>
      </c>
      <c r="C20" t="s">
        <v>12</v>
      </c>
      <c r="D20" s="3" t="s">
        <v>59</v>
      </c>
      <c r="E20" s="3">
        <v>570170.36349999998</v>
      </c>
      <c r="F20" s="3" t="s">
        <v>58</v>
      </c>
      <c r="G20" s="3"/>
    </row>
    <row r="21" spans="1:7">
      <c r="A21">
        <v>5</v>
      </c>
      <c r="B21" t="s">
        <v>16</v>
      </c>
      <c r="C21" t="s">
        <v>12</v>
      </c>
      <c r="D21" s="3" t="s">
        <v>57</v>
      </c>
      <c r="E21" s="3">
        <v>360107.598</v>
      </c>
      <c r="F21" s="3" t="s">
        <v>56</v>
      </c>
      <c r="G21" s="3"/>
    </row>
    <row r="22" spans="1:7">
      <c r="A22">
        <v>6</v>
      </c>
      <c r="B22" t="s">
        <v>17</v>
      </c>
      <c r="C22" t="s">
        <v>12</v>
      </c>
      <c r="D22" s="3" t="s">
        <v>63</v>
      </c>
      <c r="E22" s="3">
        <v>479469.64</v>
      </c>
      <c r="F22" s="3" t="s">
        <v>62</v>
      </c>
      <c r="G22" s="3"/>
    </row>
    <row r="23" spans="1:7">
      <c r="A23">
        <v>6</v>
      </c>
      <c r="B23" t="s">
        <v>17</v>
      </c>
      <c r="C23" t="s">
        <v>12</v>
      </c>
      <c r="D23" s="3" t="s">
        <v>61</v>
      </c>
      <c r="E23" s="3">
        <v>792969.02</v>
      </c>
      <c r="F23" s="3" t="s">
        <v>60</v>
      </c>
      <c r="G23" s="3"/>
    </row>
    <row r="24" spans="1:7">
      <c r="A24">
        <v>6</v>
      </c>
      <c r="B24" t="s">
        <v>17</v>
      </c>
      <c r="C24" t="s">
        <v>12</v>
      </c>
      <c r="D24" s="3" t="s">
        <v>59</v>
      </c>
      <c r="E24" s="3">
        <v>350381.66000000003</v>
      </c>
      <c r="F24" s="3" t="s">
        <v>58</v>
      </c>
      <c r="G24" s="3"/>
    </row>
    <row r="25" spans="1:7">
      <c r="A25">
        <v>6</v>
      </c>
      <c r="B25" t="s">
        <v>17</v>
      </c>
      <c r="C25" t="s">
        <v>12</v>
      </c>
      <c r="D25" s="3" t="s">
        <v>57</v>
      </c>
      <c r="E25" s="3">
        <v>221293.68</v>
      </c>
      <c r="F25" s="3" t="s">
        <v>56</v>
      </c>
      <c r="G25" s="3"/>
    </row>
    <row r="26" spans="1:7">
      <c r="A26">
        <v>7</v>
      </c>
      <c r="B26" t="s">
        <v>18</v>
      </c>
      <c r="C26" t="s">
        <v>12</v>
      </c>
      <c r="D26" s="3" t="s">
        <v>63</v>
      </c>
      <c r="E26" s="3">
        <v>540132.87639999995</v>
      </c>
      <c r="F26" s="3" t="s">
        <v>62</v>
      </c>
      <c r="G26" s="3"/>
    </row>
    <row r="27" spans="1:7">
      <c r="A27">
        <v>7</v>
      </c>
      <c r="B27" t="s">
        <v>18</v>
      </c>
      <c r="C27" t="s">
        <v>12</v>
      </c>
      <c r="D27" s="3" t="s">
        <v>61</v>
      </c>
      <c r="E27" s="3">
        <v>893296.68019999994</v>
      </c>
      <c r="F27" s="3" t="s">
        <v>60</v>
      </c>
      <c r="G27" s="3"/>
    </row>
    <row r="28" spans="1:7">
      <c r="A28">
        <v>7</v>
      </c>
      <c r="B28" t="s">
        <v>18</v>
      </c>
      <c r="C28" t="s">
        <v>12</v>
      </c>
      <c r="D28" s="3" t="s">
        <v>59</v>
      </c>
      <c r="E28" s="3">
        <v>394712.4866</v>
      </c>
      <c r="F28" s="3" t="s">
        <v>58</v>
      </c>
      <c r="G28" s="3"/>
    </row>
    <row r="29" spans="1:7">
      <c r="A29">
        <v>7</v>
      </c>
      <c r="B29" t="s">
        <v>18</v>
      </c>
      <c r="C29" t="s">
        <v>12</v>
      </c>
      <c r="D29" s="3" t="s">
        <v>57</v>
      </c>
      <c r="E29" s="3">
        <v>249292.09679999997</v>
      </c>
      <c r="F29" s="3" t="s">
        <v>56</v>
      </c>
      <c r="G29" s="3"/>
    </row>
    <row r="30" spans="1:7">
      <c r="A30">
        <v>8</v>
      </c>
      <c r="B30" t="s">
        <v>19</v>
      </c>
      <c r="C30" t="s">
        <v>12</v>
      </c>
      <c r="D30" t="s">
        <v>63</v>
      </c>
      <c r="E30">
        <v>900454.67980000004</v>
      </c>
      <c r="F30" t="s">
        <v>62</v>
      </c>
    </row>
    <row r="31" spans="1:7">
      <c r="A31">
        <v>8</v>
      </c>
      <c r="B31" t="s">
        <v>19</v>
      </c>
      <c r="C31" t="s">
        <v>12</v>
      </c>
      <c r="D31" t="s">
        <v>61</v>
      </c>
      <c r="E31">
        <v>1489213.5089</v>
      </c>
      <c r="F31" t="s">
        <v>60</v>
      </c>
    </row>
    <row r="32" spans="1:7">
      <c r="A32">
        <v>8</v>
      </c>
      <c r="B32" t="s">
        <v>19</v>
      </c>
      <c r="C32" t="s">
        <v>12</v>
      </c>
      <c r="D32" t="s">
        <v>59</v>
      </c>
      <c r="E32">
        <v>658024.57369999995</v>
      </c>
      <c r="F32" t="s">
        <v>58</v>
      </c>
    </row>
    <row r="33" spans="1:6">
      <c r="A33">
        <v>8</v>
      </c>
      <c r="B33" t="s">
        <v>19</v>
      </c>
      <c r="C33" t="s">
        <v>12</v>
      </c>
      <c r="D33" t="s">
        <v>57</v>
      </c>
      <c r="E33">
        <v>415594.46759999997</v>
      </c>
      <c r="F33" t="s">
        <v>56</v>
      </c>
    </row>
    <row r="34" spans="1:6">
      <c r="A34">
        <v>9</v>
      </c>
      <c r="B34" t="s">
        <v>20</v>
      </c>
      <c r="C34" t="s">
        <v>12</v>
      </c>
      <c r="D34" t="s">
        <v>63</v>
      </c>
      <c r="E34">
        <v>602801.00140000007</v>
      </c>
      <c r="F34" t="s">
        <v>62</v>
      </c>
    </row>
    <row r="35" spans="1:6">
      <c r="A35">
        <v>9</v>
      </c>
      <c r="B35" t="s">
        <v>20</v>
      </c>
      <c r="C35" t="s">
        <v>12</v>
      </c>
      <c r="D35" t="s">
        <v>61</v>
      </c>
      <c r="E35">
        <v>996940.11770000006</v>
      </c>
      <c r="F35" t="s">
        <v>60</v>
      </c>
    </row>
    <row r="36" spans="1:6">
      <c r="A36">
        <v>9</v>
      </c>
      <c r="B36" t="s">
        <v>20</v>
      </c>
      <c r="C36" t="s">
        <v>12</v>
      </c>
      <c r="D36" t="s">
        <v>59</v>
      </c>
      <c r="E36">
        <v>440508.4241</v>
      </c>
      <c r="F36" t="s">
        <v>58</v>
      </c>
    </row>
    <row r="37" spans="1:6">
      <c r="A37">
        <v>9</v>
      </c>
      <c r="B37" t="s">
        <v>20</v>
      </c>
      <c r="C37" t="s">
        <v>12</v>
      </c>
      <c r="D37" t="s">
        <v>57</v>
      </c>
      <c r="E37">
        <v>278215.8468</v>
      </c>
      <c r="F37" t="s">
        <v>56</v>
      </c>
    </row>
    <row r="38" spans="1:6">
      <c r="A38">
        <v>10</v>
      </c>
      <c r="B38" t="s">
        <v>21</v>
      </c>
      <c r="C38" t="s">
        <v>12</v>
      </c>
      <c r="D38" t="s">
        <v>63</v>
      </c>
      <c r="E38">
        <v>754275.86780000001</v>
      </c>
      <c r="F38" t="s">
        <v>62</v>
      </c>
    </row>
    <row r="39" spans="1:6">
      <c r="A39">
        <v>10</v>
      </c>
      <c r="B39" t="s">
        <v>21</v>
      </c>
      <c r="C39" t="s">
        <v>12</v>
      </c>
      <c r="D39" t="s">
        <v>61</v>
      </c>
      <c r="E39">
        <v>1247456.2429</v>
      </c>
      <c r="F39" t="s">
        <v>60</v>
      </c>
    </row>
    <row r="40" spans="1:6">
      <c r="A40">
        <v>10</v>
      </c>
      <c r="B40" t="s">
        <v>21</v>
      </c>
      <c r="C40" t="s">
        <v>12</v>
      </c>
      <c r="D40" t="s">
        <v>59</v>
      </c>
      <c r="E40">
        <v>551201.59569999995</v>
      </c>
      <c r="F40" t="s">
        <v>58</v>
      </c>
    </row>
    <row r="41" spans="1:6">
      <c r="A41">
        <v>10</v>
      </c>
      <c r="B41" t="s">
        <v>21</v>
      </c>
      <c r="C41" t="s">
        <v>12</v>
      </c>
      <c r="D41" t="s">
        <v>57</v>
      </c>
      <c r="E41">
        <v>348127.32359999995</v>
      </c>
      <c r="F41" t="s">
        <v>56</v>
      </c>
    </row>
    <row r="42" spans="1:6">
      <c r="A42">
        <v>11</v>
      </c>
      <c r="B42" t="s">
        <v>22</v>
      </c>
      <c r="C42" t="s">
        <v>12</v>
      </c>
      <c r="D42" t="s">
        <v>63</v>
      </c>
      <c r="E42">
        <v>293042.64080000005</v>
      </c>
      <c r="F42" t="s">
        <v>62</v>
      </c>
    </row>
    <row r="43" spans="1:6">
      <c r="A43">
        <v>11</v>
      </c>
      <c r="B43" t="s">
        <v>22</v>
      </c>
      <c r="C43" t="s">
        <v>12</v>
      </c>
      <c r="D43" t="s">
        <v>61</v>
      </c>
      <c r="E43">
        <v>484647.44440000004</v>
      </c>
      <c r="F43" t="s">
        <v>60</v>
      </c>
    </row>
    <row r="44" spans="1:6">
      <c r="A44">
        <v>11</v>
      </c>
      <c r="B44" t="s">
        <v>22</v>
      </c>
      <c r="C44" t="s">
        <v>12</v>
      </c>
      <c r="D44" t="s">
        <v>59</v>
      </c>
      <c r="E44">
        <v>214146.54520000002</v>
      </c>
      <c r="F44" t="s">
        <v>58</v>
      </c>
    </row>
    <row r="45" spans="1:6">
      <c r="A45">
        <v>11</v>
      </c>
      <c r="B45" t="s">
        <v>22</v>
      </c>
      <c r="C45" t="s">
        <v>12</v>
      </c>
      <c r="D45" t="s">
        <v>57</v>
      </c>
      <c r="E45">
        <v>135250.44959999999</v>
      </c>
      <c r="F45" t="s">
        <v>56</v>
      </c>
    </row>
    <row r="46" spans="1:6">
      <c r="A46">
        <v>12</v>
      </c>
      <c r="B46" t="s">
        <v>23</v>
      </c>
      <c r="C46" t="s">
        <v>12</v>
      </c>
      <c r="D46" t="s">
        <v>63</v>
      </c>
      <c r="E46">
        <v>1396942.9058000001</v>
      </c>
      <c r="F46" t="s">
        <v>62</v>
      </c>
    </row>
    <row r="47" spans="1:6">
      <c r="A47">
        <v>12</v>
      </c>
      <c r="B47" t="s">
        <v>23</v>
      </c>
      <c r="C47" t="s">
        <v>12</v>
      </c>
      <c r="D47" t="s">
        <v>61</v>
      </c>
      <c r="E47">
        <v>2310328.6518999999</v>
      </c>
      <c r="F47" t="s">
        <v>60</v>
      </c>
    </row>
    <row r="48" spans="1:6">
      <c r="A48">
        <v>12</v>
      </c>
      <c r="B48" t="s">
        <v>23</v>
      </c>
      <c r="C48" t="s">
        <v>12</v>
      </c>
      <c r="D48" t="s">
        <v>59</v>
      </c>
      <c r="E48">
        <v>1020842.8927000001</v>
      </c>
      <c r="F48" t="s">
        <v>58</v>
      </c>
    </row>
    <row r="49" spans="1:6">
      <c r="A49">
        <v>12</v>
      </c>
      <c r="B49" t="s">
        <v>23</v>
      </c>
      <c r="C49" t="s">
        <v>12</v>
      </c>
      <c r="D49" t="s">
        <v>57</v>
      </c>
      <c r="E49">
        <v>644742.87959999999</v>
      </c>
      <c r="F49" t="s">
        <v>56</v>
      </c>
    </row>
    <row r="50" spans="1:6">
      <c r="A50">
        <v>13</v>
      </c>
      <c r="B50" t="s">
        <v>24</v>
      </c>
      <c r="C50" t="s">
        <v>12</v>
      </c>
      <c r="D50" t="s">
        <v>63</v>
      </c>
      <c r="E50">
        <v>910401.21900000004</v>
      </c>
      <c r="F50" t="s">
        <v>62</v>
      </c>
    </row>
    <row r="51" spans="1:6">
      <c r="A51">
        <v>13</v>
      </c>
      <c r="B51" t="s">
        <v>24</v>
      </c>
      <c r="C51" t="s">
        <v>12</v>
      </c>
      <c r="D51" t="s">
        <v>61</v>
      </c>
      <c r="E51">
        <v>1505663.5544999999</v>
      </c>
      <c r="F51" t="s">
        <v>60</v>
      </c>
    </row>
    <row r="52" spans="1:6">
      <c r="A52">
        <v>13</v>
      </c>
      <c r="B52" t="s">
        <v>24</v>
      </c>
      <c r="C52" t="s">
        <v>12</v>
      </c>
      <c r="D52" t="s">
        <v>59</v>
      </c>
      <c r="E52">
        <v>665293.19849999994</v>
      </c>
      <c r="F52" t="s">
        <v>58</v>
      </c>
    </row>
    <row r="53" spans="1:6">
      <c r="A53">
        <v>13</v>
      </c>
      <c r="B53" t="s">
        <v>24</v>
      </c>
      <c r="C53" t="s">
        <v>12</v>
      </c>
      <c r="D53" t="s">
        <v>57</v>
      </c>
      <c r="E53">
        <v>420185.17799999996</v>
      </c>
      <c r="F53" t="s">
        <v>56</v>
      </c>
    </row>
    <row r="54" spans="1:6">
      <c r="A54">
        <v>14</v>
      </c>
      <c r="B54" t="s">
        <v>25</v>
      </c>
      <c r="C54" t="s">
        <v>12</v>
      </c>
      <c r="D54" t="s">
        <v>63</v>
      </c>
      <c r="E54">
        <v>531606.24919999996</v>
      </c>
      <c r="F54" t="s">
        <v>62</v>
      </c>
    </row>
    <row r="55" spans="1:6">
      <c r="A55">
        <v>14</v>
      </c>
      <c r="B55" t="s">
        <v>25</v>
      </c>
      <c r="C55" t="s">
        <v>12</v>
      </c>
      <c r="D55" t="s">
        <v>61</v>
      </c>
      <c r="E55">
        <v>879194.95059999998</v>
      </c>
      <c r="F55" t="s">
        <v>60</v>
      </c>
    </row>
    <row r="56" spans="1:6">
      <c r="A56">
        <v>14</v>
      </c>
      <c r="B56" t="s">
        <v>25</v>
      </c>
      <c r="C56" t="s">
        <v>12</v>
      </c>
      <c r="D56" t="s">
        <v>59</v>
      </c>
      <c r="E56">
        <v>388481.48979999998</v>
      </c>
      <c r="F56" t="s">
        <v>58</v>
      </c>
    </row>
    <row r="57" spans="1:6">
      <c r="A57">
        <v>14</v>
      </c>
      <c r="B57" t="s">
        <v>25</v>
      </c>
      <c r="C57" t="s">
        <v>12</v>
      </c>
      <c r="D57" t="s">
        <v>57</v>
      </c>
      <c r="E57">
        <v>245356.73039999997</v>
      </c>
      <c r="F57" t="s">
        <v>56</v>
      </c>
    </row>
    <row r="58" spans="1:6">
      <c r="A58">
        <v>15</v>
      </c>
      <c r="B58" t="s">
        <v>26</v>
      </c>
      <c r="C58" t="s">
        <v>12</v>
      </c>
      <c r="D58" t="s">
        <v>63</v>
      </c>
      <c r="E58">
        <v>303971.5822</v>
      </c>
      <c r="F58" t="s">
        <v>62</v>
      </c>
    </row>
    <row r="59" spans="1:6">
      <c r="A59">
        <v>15</v>
      </c>
      <c r="B59" t="s">
        <v>26</v>
      </c>
      <c r="C59" t="s">
        <v>12</v>
      </c>
      <c r="D59" t="s">
        <v>61</v>
      </c>
      <c r="E59">
        <v>502722.23209999996</v>
      </c>
      <c r="F59" t="s">
        <v>60</v>
      </c>
    </row>
    <row r="60" spans="1:6">
      <c r="A60">
        <v>15</v>
      </c>
      <c r="B60" t="s">
        <v>26</v>
      </c>
      <c r="C60" t="s">
        <v>12</v>
      </c>
      <c r="D60" t="s">
        <v>59</v>
      </c>
      <c r="E60">
        <v>222133.07929999998</v>
      </c>
      <c r="F60" t="s">
        <v>58</v>
      </c>
    </row>
    <row r="61" spans="1:6">
      <c r="A61">
        <v>15</v>
      </c>
      <c r="B61" t="s">
        <v>26</v>
      </c>
      <c r="C61" t="s">
        <v>12</v>
      </c>
      <c r="D61" t="s">
        <v>57</v>
      </c>
      <c r="E61">
        <v>140294.57639999999</v>
      </c>
      <c r="F61" t="s">
        <v>56</v>
      </c>
    </row>
    <row r="62" spans="1:6">
      <c r="A62">
        <v>16</v>
      </c>
      <c r="B62" t="s">
        <v>27</v>
      </c>
      <c r="C62" t="s">
        <v>12</v>
      </c>
      <c r="D62" t="s">
        <v>63</v>
      </c>
      <c r="E62">
        <v>938707.56200000003</v>
      </c>
      <c r="F62" t="s">
        <v>62</v>
      </c>
    </row>
    <row r="63" spans="1:6">
      <c r="A63">
        <v>16</v>
      </c>
      <c r="B63" t="s">
        <v>27</v>
      </c>
      <c r="C63" t="s">
        <v>12</v>
      </c>
      <c r="D63" t="s">
        <v>61</v>
      </c>
      <c r="E63">
        <v>1552477.8910000001</v>
      </c>
      <c r="F63" t="s">
        <v>60</v>
      </c>
    </row>
    <row r="64" spans="1:6">
      <c r="A64">
        <v>16</v>
      </c>
      <c r="B64" t="s">
        <v>27</v>
      </c>
      <c r="C64" t="s">
        <v>12</v>
      </c>
      <c r="D64" t="s">
        <v>59</v>
      </c>
      <c r="E64">
        <v>685978.603</v>
      </c>
      <c r="F64" t="s">
        <v>58</v>
      </c>
    </row>
    <row r="65" spans="1:6">
      <c r="A65">
        <v>16</v>
      </c>
      <c r="B65" t="s">
        <v>27</v>
      </c>
      <c r="C65" t="s">
        <v>12</v>
      </c>
      <c r="D65" t="s">
        <v>57</v>
      </c>
      <c r="E65">
        <v>433249.64400000003</v>
      </c>
      <c r="F65" t="s">
        <v>56</v>
      </c>
    </row>
    <row r="66" spans="1:6">
      <c r="A66">
        <v>17</v>
      </c>
      <c r="B66" t="s">
        <v>28</v>
      </c>
      <c r="C66" t="s">
        <v>12</v>
      </c>
      <c r="D66" t="s">
        <v>63</v>
      </c>
      <c r="E66">
        <v>1037747.828</v>
      </c>
      <c r="F66" t="s">
        <v>62</v>
      </c>
    </row>
    <row r="67" spans="1:6">
      <c r="A67">
        <v>17</v>
      </c>
      <c r="B67" t="s">
        <v>28</v>
      </c>
      <c r="C67" t="s">
        <v>12</v>
      </c>
      <c r="D67" t="s">
        <v>61</v>
      </c>
      <c r="E67">
        <v>1716275.254</v>
      </c>
      <c r="F67" t="s">
        <v>60</v>
      </c>
    </row>
    <row r="68" spans="1:6">
      <c r="A68">
        <v>17</v>
      </c>
      <c r="B68" t="s">
        <v>28</v>
      </c>
      <c r="C68" t="s">
        <v>12</v>
      </c>
      <c r="D68" t="s">
        <v>59</v>
      </c>
      <c r="E68">
        <v>758354.18200000003</v>
      </c>
      <c r="F68" t="s">
        <v>58</v>
      </c>
    </row>
    <row r="69" spans="1:6">
      <c r="A69">
        <v>17</v>
      </c>
      <c r="B69" t="s">
        <v>28</v>
      </c>
      <c r="C69" t="s">
        <v>12</v>
      </c>
      <c r="D69" t="s">
        <v>57</v>
      </c>
      <c r="E69">
        <v>478960.53599999996</v>
      </c>
      <c r="F69" t="s">
        <v>56</v>
      </c>
    </row>
    <row r="70" spans="1:6">
      <c r="A70">
        <v>18</v>
      </c>
      <c r="B70" t="s">
        <v>29</v>
      </c>
      <c r="C70" t="s">
        <v>12</v>
      </c>
      <c r="D70" t="s">
        <v>63</v>
      </c>
      <c r="E70">
        <v>868486.26799999992</v>
      </c>
      <c r="F70" t="s">
        <v>62</v>
      </c>
    </row>
    <row r="71" spans="1:6">
      <c r="A71">
        <v>18</v>
      </c>
      <c r="B71" t="s">
        <v>29</v>
      </c>
      <c r="C71" t="s">
        <v>12</v>
      </c>
      <c r="D71" t="s">
        <v>61</v>
      </c>
      <c r="E71">
        <v>1436342.6739999999</v>
      </c>
      <c r="F71" t="s">
        <v>60</v>
      </c>
    </row>
    <row r="72" spans="1:6">
      <c r="A72">
        <v>18</v>
      </c>
      <c r="B72" t="s">
        <v>29</v>
      </c>
      <c r="C72" t="s">
        <v>12</v>
      </c>
      <c r="D72" t="s">
        <v>59</v>
      </c>
      <c r="E72">
        <v>634663.04200000002</v>
      </c>
      <c r="F72" t="s">
        <v>58</v>
      </c>
    </row>
    <row r="73" spans="1:6">
      <c r="A73">
        <v>18</v>
      </c>
      <c r="B73" t="s">
        <v>29</v>
      </c>
      <c r="C73" t="s">
        <v>12</v>
      </c>
      <c r="D73" t="s">
        <v>57</v>
      </c>
      <c r="E73">
        <v>400839.81599999999</v>
      </c>
      <c r="F73" t="s">
        <v>56</v>
      </c>
    </row>
    <row r="74" spans="1:6">
      <c r="A74">
        <v>19</v>
      </c>
      <c r="B74" t="s">
        <v>30</v>
      </c>
      <c r="C74" t="s">
        <v>12</v>
      </c>
      <c r="D74" t="s">
        <v>63</v>
      </c>
      <c r="E74">
        <v>672519.87140000006</v>
      </c>
      <c r="F74" t="s">
        <v>62</v>
      </c>
    </row>
    <row r="75" spans="1:6">
      <c r="A75">
        <v>19</v>
      </c>
      <c r="B75" t="s">
        <v>30</v>
      </c>
      <c r="C75" t="s">
        <v>12</v>
      </c>
      <c r="D75" t="s">
        <v>61</v>
      </c>
      <c r="E75">
        <v>1112244.4027</v>
      </c>
      <c r="F75" t="s">
        <v>60</v>
      </c>
    </row>
    <row r="76" spans="1:6">
      <c r="A76">
        <v>19</v>
      </c>
      <c r="B76" t="s">
        <v>30</v>
      </c>
      <c r="C76" t="s">
        <v>12</v>
      </c>
      <c r="D76" t="s">
        <v>59</v>
      </c>
      <c r="E76">
        <v>491456.82910000003</v>
      </c>
      <c r="F76" t="s">
        <v>58</v>
      </c>
    </row>
    <row r="77" spans="1:6">
      <c r="A77">
        <v>19</v>
      </c>
      <c r="B77" t="s">
        <v>30</v>
      </c>
      <c r="C77" t="s">
        <v>12</v>
      </c>
      <c r="D77" t="s">
        <v>57</v>
      </c>
      <c r="E77">
        <v>310393.7868</v>
      </c>
      <c r="F77" t="s">
        <v>56</v>
      </c>
    </row>
    <row r="78" spans="1:6">
      <c r="A78">
        <v>20</v>
      </c>
      <c r="B78" t="s">
        <v>31</v>
      </c>
      <c r="C78" t="s">
        <v>12</v>
      </c>
      <c r="D78" t="s">
        <v>63</v>
      </c>
      <c r="E78">
        <v>130064.24080000001</v>
      </c>
      <c r="F78" t="s">
        <v>62</v>
      </c>
    </row>
    <row r="79" spans="1:6">
      <c r="A79">
        <v>20</v>
      </c>
      <c r="B79" t="s">
        <v>31</v>
      </c>
      <c r="C79" t="s">
        <v>12</v>
      </c>
      <c r="D79" t="s">
        <v>61</v>
      </c>
      <c r="E79">
        <v>215106.2444</v>
      </c>
      <c r="F79" t="s">
        <v>60</v>
      </c>
    </row>
    <row r="80" spans="1:6">
      <c r="A80">
        <v>20</v>
      </c>
      <c r="B80" t="s">
        <v>31</v>
      </c>
      <c r="C80" t="s">
        <v>12</v>
      </c>
      <c r="D80" t="s">
        <v>59</v>
      </c>
      <c r="E80">
        <v>95046.945200000002</v>
      </c>
      <c r="F80" t="s">
        <v>58</v>
      </c>
    </row>
    <row r="81" spans="1:6">
      <c r="A81">
        <v>20</v>
      </c>
      <c r="B81" t="s">
        <v>31</v>
      </c>
      <c r="C81" t="s">
        <v>12</v>
      </c>
      <c r="D81" t="s">
        <v>57</v>
      </c>
      <c r="E81">
        <v>60029.649599999997</v>
      </c>
      <c r="F81" t="s">
        <v>56</v>
      </c>
    </row>
    <row r="82" spans="1:6">
      <c r="A82">
        <v>21</v>
      </c>
      <c r="B82" t="s">
        <v>32</v>
      </c>
      <c r="C82" t="s">
        <v>12</v>
      </c>
      <c r="D82" t="s">
        <v>63</v>
      </c>
      <c r="E82">
        <v>678585.59340000001</v>
      </c>
      <c r="F82" t="s">
        <v>62</v>
      </c>
    </row>
    <row r="83" spans="1:6">
      <c r="A83">
        <v>21</v>
      </c>
      <c r="B83" t="s">
        <v>32</v>
      </c>
      <c r="C83" t="s">
        <v>12</v>
      </c>
      <c r="D83" t="s">
        <v>61</v>
      </c>
      <c r="E83">
        <v>1122276.1736999999</v>
      </c>
      <c r="F83" t="s">
        <v>60</v>
      </c>
    </row>
    <row r="84" spans="1:6">
      <c r="A84">
        <v>21</v>
      </c>
      <c r="B84" t="s">
        <v>32</v>
      </c>
      <c r="C84" t="s">
        <v>12</v>
      </c>
      <c r="D84" t="s">
        <v>59</v>
      </c>
      <c r="E84">
        <v>495889.47209999996</v>
      </c>
      <c r="F84" t="s">
        <v>58</v>
      </c>
    </row>
    <row r="85" spans="1:6">
      <c r="A85">
        <v>21</v>
      </c>
      <c r="B85" t="s">
        <v>32</v>
      </c>
      <c r="C85" t="s">
        <v>12</v>
      </c>
      <c r="D85" t="s">
        <v>57</v>
      </c>
      <c r="E85">
        <v>313193.35079999996</v>
      </c>
      <c r="F85" t="s">
        <v>56</v>
      </c>
    </row>
    <row r="86" spans="1:6">
      <c r="A86">
        <v>22</v>
      </c>
      <c r="B86" t="s">
        <v>33</v>
      </c>
      <c r="C86" t="s">
        <v>12</v>
      </c>
      <c r="D86" t="s">
        <v>63</v>
      </c>
      <c r="E86">
        <v>348384.16080000001</v>
      </c>
      <c r="F86" t="s">
        <v>62</v>
      </c>
    </row>
    <row r="87" spans="1:6">
      <c r="A87">
        <v>22</v>
      </c>
      <c r="B87" t="s">
        <v>33</v>
      </c>
      <c r="C87" t="s">
        <v>12</v>
      </c>
      <c r="D87" t="s">
        <v>61</v>
      </c>
      <c r="E87">
        <v>576173.80440000002</v>
      </c>
      <c r="F87" t="s">
        <v>60</v>
      </c>
    </row>
    <row r="88" spans="1:6">
      <c r="A88">
        <v>22</v>
      </c>
      <c r="B88" t="s">
        <v>33</v>
      </c>
      <c r="C88" t="s">
        <v>12</v>
      </c>
      <c r="D88" t="s">
        <v>59</v>
      </c>
      <c r="E88">
        <v>254588.42520000003</v>
      </c>
      <c r="F88" t="s">
        <v>58</v>
      </c>
    </row>
    <row r="89" spans="1:6">
      <c r="A89">
        <v>22</v>
      </c>
      <c r="B89" t="s">
        <v>33</v>
      </c>
      <c r="C89" t="s">
        <v>12</v>
      </c>
      <c r="D89" t="s">
        <v>57</v>
      </c>
      <c r="E89">
        <v>160792.68960000001</v>
      </c>
      <c r="F89" t="s">
        <v>56</v>
      </c>
    </row>
    <row r="90" spans="1:6">
      <c r="A90">
        <v>23</v>
      </c>
      <c r="B90" t="s">
        <v>34</v>
      </c>
      <c r="C90" t="s">
        <v>12</v>
      </c>
      <c r="D90" t="s">
        <v>63</v>
      </c>
      <c r="E90">
        <v>982446.16080000007</v>
      </c>
      <c r="F90" t="s">
        <v>62</v>
      </c>
    </row>
    <row r="91" spans="1:6">
      <c r="A91">
        <v>23</v>
      </c>
      <c r="B91" t="s">
        <v>34</v>
      </c>
      <c r="C91" t="s">
        <v>12</v>
      </c>
      <c r="D91" t="s">
        <v>61</v>
      </c>
      <c r="E91">
        <v>1624814.8044</v>
      </c>
      <c r="F91" t="s">
        <v>60</v>
      </c>
    </row>
    <row r="92" spans="1:6">
      <c r="A92">
        <v>23</v>
      </c>
      <c r="B92" t="s">
        <v>34</v>
      </c>
      <c r="C92" t="s">
        <v>12</v>
      </c>
      <c r="D92" t="s">
        <v>59</v>
      </c>
      <c r="E92">
        <v>717941.42520000006</v>
      </c>
      <c r="F92" t="s">
        <v>58</v>
      </c>
    </row>
    <row r="93" spans="1:6">
      <c r="A93">
        <v>23</v>
      </c>
      <c r="B93" t="s">
        <v>34</v>
      </c>
      <c r="C93" t="s">
        <v>12</v>
      </c>
      <c r="D93" t="s">
        <v>57</v>
      </c>
      <c r="E93">
        <v>453436.68959999998</v>
      </c>
      <c r="F93" t="s">
        <v>56</v>
      </c>
    </row>
    <row r="94" spans="1:6">
      <c r="A94">
        <v>24</v>
      </c>
      <c r="B94" t="s">
        <v>35</v>
      </c>
      <c r="C94" t="s">
        <v>12</v>
      </c>
      <c r="D94" t="s">
        <v>63</v>
      </c>
      <c r="E94">
        <v>805403.65359999996</v>
      </c>
      <c r="F94" t="s">
        <v>62</v>
      </c>
    </row>
    <row r="95" spans="1:6">
      <c r="A95">
        <v>24</v>
      </c>
      <c r="B95" t="s">
        <v>35</v>
      </c>
      <c r="C95" t="s">
        <v>12</v>
      </c>
      <c r="D95" t="s">
        <v>61</v>
      </c>
      <c r="E95">
        <v>1332013.7348</v>
      </c>
      <c r="F95" t="s">
        <v>60</v>
      </c>
    </row>
    <row r="96" spans="1:6">
      <c r="A96">
        <v>24</v>
      </c>
      <c r="B96" t="s">
        <v>35</v>
      </c>
      <c r="C96" t="s">
        <v>12</v>
      </c>
      <c r="D96" t="s">
        <v>59</v>
      </c>
      <c r="E96">
        <v>588564.2084</v>
      </c>
      <c r="F96" t="s">
        <v>58</v>
      </c>
    </row>
    <row r="97" spans="1:6">
      <c r="A97">
        <v>24</v>
      </c>
      <c r="B97" t="s">
        <v>35</v>
      </c>
      <c r="C97" t="s">
        <v>12</v>
      </c>
      <c r="D97" t="s">
        <v>57</v>
      </c>
      <c r="E97">
        <v>371724.76319999999</v>
      </c>
      <c r="F97" t="s">
        <v>56</v>
      </c>
    </row>
    <row r="98" spans="1:6">
      <c r="A98">
        <v>25</v>
      </c>
      <c r="B98" t="s">
        <v>36</v>
      </c>
      <c r="C98" t="s">
        <v>12</v>
      </c>
      <c r="D98" t="s">
        <v>63</v>
      </c>
      <c r="E98">
        <v>713713.91259999992</v>
      </c>
      <c r="F98" t="s">
        <v>62</v>
      </c>
    </row>
    <row r="99" spans="1:6">
      <c r="A99">
        <v>25</v>
      </c>
      <c r="B99" t="s">
        <v>36</v>
      </c>
      <c r="C99" t="s">
        <v>12</v>
      </c>
      <c r="D99" t="s">
        <v>61</v>
      </c>
      <c r="E99">
        <v>1180373.0092999998</v>
      </c>
      <c r="F99" t="s">
        <v>60</v>
      </c>
    </row>
    <row r="100" spans="1:6">
      <c r="A100">
        <v>25</v>
      </c>
      <c r="B100" t="s">
        <v>36</v>
      </c>
      <c r="C100" t="s">
        <v>12</v>
      </c>
      <c r="D100" t="s">
        <v>59</v>
      </c>
      <c r="E100">
        <v>521560.16689999995</v>
      </c>
      <c r="F100" t="s">
        <v>58</v>
      </c>
    </row>
    <row r="101" spans="1:6">
      <c r="A101">
        <v>25</v>
      </c>
      <c r="B101" t="s">
        <v>36</v>
      </c>
      <c r="C101" t="s">
        <v>12</v>
      </c>
      <c r="D101" t="s">
        <v>57</v>
      </c>
      <c r="E101">
        <v>329406.42119999998</v>
      </c>
      <c r="F101" t="s">
        <v>56</v>
      </c>
    </row>
    <row r="102" spans="1:6">
      <c r="A102">
        <v>26</v>
      </c>
      <c r="B102" t="s">
        <v>37</v>
      </c>
      <c r="C102" t="s">
        <v>12</v>
      </c>
      <c r="D102" t="s">
        <v>63</v>
      </c>
      <c r="E102">
        <v>385193.11220000003</v>
      </c>
      <c r="F102" t="s">
        <v>62</v>
      </c>
    </row>
    <row r="103" spans="1:6">
      <c r="A103">
        <v>26</v>
      </c>
      <c r="B103" t="s">
        <v>37</v>
      </c>
      <c r="C103" t="s">
        <v>12</v>
      </c>
      <c r="D103" t="s">
        <v>61</v>
      </c>
      <c r="E103">
        <v>637050.14709999994</v>
      </c>
      <c r="F103" t="s">
        <v>60</v>
      </c>
    </row>
    <row r="104" spans="1:6">
      <c r="A104">
        <v>26</v>
      </c>
      <c r="B104" t="s">
        <v>37</v>
      </c>
      <c r="C104" t="s">
        <v>12</v>
      </c>
      <c r="D104" t="s">
        <v>59</v>
      </c>
      <c r="E104">
        <v>281487.27429999999</v>
      </c>
      <c r="F104" t="s">
        <v>58</v>
      </c>
    </row>
    <row r="105" spans="1:6">
      <c r="A105">
        <v>26</v>
      </c>
      <c r="B105" t="s">
        <v>37</v>
      </c>
      <c r="C105" t="s">
        <v>12</v>
      </c>
      <c r="D105" t="s">
        <v>57</v>
      </c>
      <c r="E105">
        <v>177781.43639999998</v>
      </c>
      <c r="F105" t="s">
        <v>56</v>
      </c>
    </row>
    <row r="106" spans="1:6">
      <c r="A106">
        <v>27</v>
      </c>
      <c r="B106" t="s">
        <v>38</v>
      </c>
      <c r="C106" t="s">
        <v>12</v>
      </c>
      <c r="D106" t="s">
        <v>63</v>
      </c>
      <c r="E106">
        <v>562394.11800000002</v>
      </c>
      <c r="F106" t="s">
        <v>62</v>
      </c>
    </row>
    <row r="107" spans="1:6">
      <c r="A107">
        <v>27</v>
      </c>
      <c r="B107" t="s">
        <v>38</v>
      </c>
      <c r="C107" t="s">
        <v>12</v>
      </c>
      <c r="D107" t="s">
        <v>61</v>
      </c>
      <c r="E107">
        <v>930113.34899999993</v>
      </c>
      <c r="F107" t="s">
        <v>60</v>
      </c>
    </row>
    <row r="108" spans="1:6">
      <c r="A108">
        <v>27</v>
      </c>
      <c r="B108" t="s">
        <v>38</v>
      </c>
      <c r="C108" t="s">
        <v>12</v>
      </c>
      <c r="D108" t="s">
        <v>59</v>
      </c>
      <c r="E108">
        <v>410980.31699999998</v>
      </c>
      <c r="F108" t="s">
        <v>58</v>
      </c>
    </row>
    <row r="109" spans="1:6">
      <c r="A109">
        <v>27</v>
      </c>
      <c r="B109" t="s">
        <v>38</v>
      </c>
      <c r="C109" t="s">
        <v>12</v>
      </c>
      <c r="D109" t="s">
        <v>57</v>
      </c>
      <c r="E109">
        <v>259566.51599999997</v>
      </c>
      <c r="F109" t="s">
        <v>56</v>
      </c>
    </row>
    <row r="110" spans="1:6">
      <c r="A110">
        <v>28</v>
      </c>
      <c r="B110" t="s">
        <v>39</v>
      </c>
      <c r="C110" t="s">
        <v>12</v>
      </c>
      <c r="D110" t="s">
        <v>63</v>
      </c>
      <c r="E110">
        <v>694852.10600000003</v>
      </c>
      <c r="F110" t="s">
        <v>62</v>
      </c>
    </row>
    <row r="111" spans="1:6">
      <c r="A111">
        <v>28</v>
      </c>
      <c r="B111" t="s">
        <v>39</v>
      </c>
      <c r="C111" t="s">
        <v>12</v>
      </c>
      <c r="D111" t="s">
        <v>61</v>
      </c>
      <c r="E111">
        <v>1149178.483</v>
      </c>
      <c r="F111" t="s">
        <v>60</v>
      </c>
    </row>
    <row r="112" spans="1:6">
      <c r="A112">
        <v>28</v>
      </c>
      <c r="B112" t="s">
        <v>39</v>
      </c>
      <c r="C112" t="s">
        <v>12</v>
      </c>
      <c r="D112" t="s">
        <v>59</v>
      </c>
      <c r="E112">
        <v>507776.53900000005</v>
      </c>
      <c r="F112" t="s">
        <v>58</v>
      </c>
    </row>
    <row r="113" spans="1:6">
      <c r="A113">
        <v>28</v>
      </c>
      <c r="B113" t="s">
        <v>39</v>
      </c>
      <c r="C113" t="s">
        <v>12</v>
      </c>
      <c r="D113" t="s">
        <v>57</v>
      </c>
      <c r="E113">
        <v>320700.97200000001</v>
      </c>
      <c r="F113" t="s">
        <v>56</v>
      </c>
    </row>
    <row r="114" spans="1:6">
      <c r="A114">
        <v>29</v>
      </c>
      <c r="B114" t="s">
        <v>40</v>
      </c>
      <c r="C114" t="s">
        <v>12</v>
      </c>
      <c r="D114" t="s">
        <v>63</v>
      </c>
      <c r="E114">
        <v>886079.51640000008</v>
      </c>
      <c r="F114" t="s">
        <v>62</v>
      </c>
    </row>
    <row r="115" spans="1:6">
      <c r="A115">
        <v>29</v>
      </c>
      <c r="B115" t="s">
        <v>40</v>
      </c>
      <c r="C115" t="s">
        <v>12</v>
      </c>
      <c r="D115" t="s">
        <v>61</v>
      </c>
      <c r="E115">
        <v>1465439.2002000001</v>
      </c>
      <c r="F115" t="s">
        <v>60</v>
      </c>
    </row>
    <row r="116" spans="1:6">
      <c r="A116">
        <v>29</v>
      </c>
      <c r="B116" t="s">
        <v>40</v>
      </c>
      <c r="C116" t="s">
        <v>12</v>
      </c>
      <c r="D116" t="s">
        <v>59</v>
      </c>
      <c r="E116">
        <v>647519.64659999998</v>
      </c>
      <c r="F116" t="s">
        <v>58</v>
      </c>
    </row>
    <row r="117" spans="1:6">
      <c r="A117">
        <v>29</v>
      </c>
      <c r="B117" t="s">
        <v>40</v>
      </c>
      <c r="C117" t="s">
        <v>12</v>
      </c>
      <c r="D117" t="s">
        <v>57</v>
      </c>
      <c r="E117">
        <v>408959.77679999999</v>
      </c>
      <c r="F117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summary_income_by_branch</vt:lpstr>
      <vt:lpstr>branch_income_by_product</vt:lpstr>
      <vt:lpstr>branch_cost_by_product</vt:lpstr>
      <vt:lpstr>income_by_segment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created xsi:type="dcterms:W3CDTF">2026-01-29T23:07:00Z</dcterms:created>
  <dcterms:modified xsi:type="dcterms:W3CDTF">2026-02-08T04:58:57Z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ABD9283396D8403EAA95A116EFB374C3_12</vt:lpwstr>
  </property>
  <property fmtid="{D5CDD505-2E9C-101B-9397-08002B2CF9AE}" pid="3" name="KSOProductBuildVer">
    <vt:lpwstr>2057-12.2.0.23196</vt:lpwstr>
  </property>
</Properties>
</file>